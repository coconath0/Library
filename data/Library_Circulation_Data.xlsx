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xr:revisionPtr revIDLastSave="0" documentId="8_{1CE01DBF-E235-4D29-B757-CD5714C7152A}" xr6:coauthVersionLast="47" xr6:coauthVersionMax="47" xr10:uidLastSave="{00000000-0000-0000-0000-000000000000}"/>
  <bookViews>
    <workbookView xWindow="240" yWindow="105" windowWidth="14805" windowHeight="8010" firstSheet="5" activeTab="8" xr2:uid="{00000000-000D-0000-FFFF-FFFF00000000}"/>
  </bookViews>
  <sheets>
    <sheet name="FY24 Circulation" sheetId="1" r:id="rId1"/>
    <sheet name="FY23 Circulation" sheetId="3" r:id="rId2"/>
    <sheet name="FY22 Circulation" sheetId="4" r:id="rId3"/>
    <sheet name="FY21 Circulation" sheetId="5" r:id="rId4"/>
    <sheet name="FY20 Circ" sheetId="7" r:id="rId5"/>
    <sheet name="FY19 Circ" sheetId="8" r:id="rId6"/>
    <sheet name="FY18 Circ" sheetId="9" r:id="rId7"/>
    <sheet name="FY17 Circ" sheetId="10" r:id="rId8"/>
    <sheet name="FY16 Circ" sheetId="11" r:id="rId9"/>
    <sheet name="FY15 Circ" sheetId="12" r:id="rId10"/>
    <sheet name="2024 Engagement Data" sheetId="2" r:id="rId11"/>
  </sheets>
  <externalReferences>
    <externalReference r:id="rId12"/>
  </externalReferences>
  <definedNames>
    <definedName name="_xlnm._FilterDatabase" localSheetId="10" hidden="1">'2024 Engagement Data'!$A$1:$V$1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 i="12" l="1"/>
  <c r="J29" i="12"/>
  <c r="J27" i="12"/>
  <c r="J25" i="12"/>
  <c r="J32" i="12" s="1"/>
  <c r="I23" i="12"/>
  <c r="J23" i="12" s="1"/>
  <c r="J21" i="12"/>
  <c r="J19" i="12"/>
  <c r="I17" i="12"/>
  <c r="J17" i="12" s="1"/>
  <c r="G17" i="12"/>
  <c r="J15" i="12"/>
  <c r="J13" i="12"/>
  <c r="J11" i="12"/>
  <c r="J9" i="12"/>
  <c r="C38" i="12"/>
  <c r="C36" i="12"/>
  <c r="C32" i="12"/>
  <c r="C28" i="12"/>
  <c r="C24" i="12"/>
  <c r="C20" i="12"/>
  <c r="C16" i="12"/>
  <c r="C12" i="12"/>
  <c r="C8" i="12"/>
  <c r="J29" i="11"/>
  <c r="J27" i="11"/>
  <c r="I23" i="11"/>
  <c r="J23" i="11" s="1"/>
  <c r="J21" i="11"/>
  <c r="J19" i="11"/>
  <c r="I17" i="11"/>
  <c r="G17" i="11"/>
  <c r="J15" i="11"/>
  <c r="J13" i="11"/>
  <c r="J11" i="11"/>
  <c r="J9" i="11"/>
  <c r="C38" i="11"/>
  <c r="B38" i="11"/>
  <c r="C36" i="11"/>
  <c r="C32" i="11"/>
  <c r="C28" i="11"/>
  <c r="C20" i="11"/>
  <c r="C16" i="11"/>
  <c r="C12" i="11"/>
  <c r="C8" i="11"/>
  <c r="O30" i="10"/>
  <c r="N30" i="10"/>
  <c r="P28" i="10"/>
  <c r="P27" i="10"/>
  <c r="P26" i="10"/>
  <c r="P25" i="10"/>
  <c r="P24" i="10"/>
  <c r="P23" i="10"/>
  <c r="P22" i="10"/>
  <c r="P21" i="10"/>
  <c r="P20" i="10"/>
  <c r="P19" i="10"/>
  <c r="P18" i="10"/>
  <c r="P17" i="10"/>
  <c r="P16" i="10"/>
  <c r="P15" i="10"/>
  <c r="P14" i="10"/>
  <c r="P13" i="10"/>
  <c r="P12" i="10"/>
  <c r="P11" i="10"/>
  <c r="P10" i="10"/>
  <c r="P9" i="10"/>
  <c r="P8" i="10"/>
  <c r="P7" i="10"/>
  <c r="P6" i="10"/>
  <c r="P5" i="10"/>
  <c r="D9" i="10"/>
  <c r="J28" i="10"/>
  <c r="J26" i="10"/>
  <c r="I22" i="10"/>
  <c r="J22" i="10" s="1"/>
  <c r="H22" i="10"/>
  <c r="J20" i="10"/>
  <c r="J18" i="10"/>
  <c r="I16" i="10"/>
  <c r="H16" i="10"/>
  <c r="H24" i="10" s="1"/>
  <c r="G16" i="10"/>
  <c r="J14" i="10"/>
  <c r="J12" i="10"/>
  <c r="J10" i="10"/>
  <c r="J8" i="10"/>
  <c r="C37" i="10"/>
  <c r="B37" i="10"/>
  <c r="C35" i="10"/>
  <c r="C31" i="10"/>
  <c r="C27" i="10"/>
  <c r="C23" i="10"/>
  <c r="C19" i="10"/>
  <c r="C15" i="10"/>
  <c r="C11" i="10"/>
  <c r="C7" i="10"/>
  <c r="P33" i="9"/>
  <c r="O33" i="9"/>
  <c r="Q31" i="9"/>
  <c r="Q30" i="9"/>
  <c r="Q29" i="9"/>
  <c r="Q28" i="9"/>
  <c r="Q27" i="9"/>
  <c r="Q26" i="9"/>
  <c r="Q25" i="9"/>
  <c r="Q24" i="9"/>
  <c r="Q23" i="9"/>
  <c r="Q22" i="9"/>
  <c r="Q21" i="9"/>
  <c r="Q20" i="9"/>
  <c r="Q19" i="9"/>
  <c r="Q18" i="9"/>
  <c r="Q17" i="9"/>
  <c r="Q16" i="9"/>
  <c r="Q15" i="9"/>
  <c r="Q14" i="9"/>
  <c r="Q13" i="9"/>
  <c r="Q12" i="9"/>
  <c r="Q11" i="9"/>
  <c r="Q10" i="9"/>
  <c r="Q9" i="9"/>
  <c r="Q8" i="9"/>
  <c r="Q7" i="9"/>
  <c r="J29" i="9"/>
  <c r="J27" i="9"/>
  <c r="I23" i="9"/>
  <c r="J23" i="9" s="1"/>
  <c r="J21" i="9"/>
  <c r="J19" i="9"/>
  <c r="I17" i="9"/>
  <c r="G17" i="9"/>
  <c r="G25" i="9" s="1"/>
  <c r="G32" i="9" s="1"/>
  <c r="J15" i="9"/>
  <c r="J13" i="9"/>
  <c r="J11" i="9"/>
  <c r="J9" i="9"/>
  <c r="C38" i="9"/>
  <c r="B38" i="9"/>
  <c r="C36" i="9"/>
  <c r="C34" i="9"/>
  <c r="C31" i="9"/>
  <c r="C32" i="9" s="1"/>
  <c r="C28" i="9"/>
  <c r="C26" i="9"/>
  <c r="C23" i="9"/>
  <c r="C24" i="9" s="1"/>
  <c r="C20" i="9"/>
  <c r="C18" i="9"/>
  <c r="C15" i="9"/>
  <c r="C16" i="9" s="1"/>
  <c r="C12" i="9"/>
  <c r="C10" i="9"/>
  <c r="C7" i="9"/>
  <c r="C8" i="9" s="1"/>
  <c r="O33" i="8"/>
  <c r="N33" i="8"/>
  <c r="P31" i="8"/>
  <c r="P30" i="8"/>
  <c r="P29" i="8"/>
  <c r="P28" i="8"/>
  <c r="P27" i="8"/>
  <c r="P26" i="8"/>
  <c r="P25" i="8"/>
  <c r="P24" i="8"/>
  <c r="P23" i="8"/>
  <c r="P22" i="8"/>
  <c r="P21" i="8"/>
  <c r="P20" i="8"/>
  <c r="P18" i="8"/>
  <c r="P17" i="8"/>
  <c r="P16" i="8"/>
  <c r="P15" i="8"/>
  <c r="P14" i="8"/>
  <c r="P13" i="8"/>
  <c r="P12" i="8"/>
  <c r="P11" i="8"/>
  <c r="P10" i="8"/>
  <c r="P9" i="8"/>
  <c r="P8" i="8"/>
  <c r="P6" i="8"/>
  <c r="J31" i="8"/>
  <c r="H31" i="8"/>
  <c r="J29" i="8"/>
  <c r="H29" i="8"/>
  <c r="J27" i="8"/>
  <c r="H27" i="8"/>
  <c r="I23" i="8"/>
  <c r="J23" i="8" s="1"/>
  <c r="G23" i="8"/>
  <c r="H23" i="8" s="1"/>
  <c r="J21" i="8"/>
  <c r="H21" i="8"/>
  <c r="J19" i="8"/>
  <c r="H19" i="8"/>
  <c r="I17" i="8"/>
  <c r="G17" i="8"/>
  <c r="J15" i="8"/>
  <c r="H15" i="8"/>
  <c r="J13" i="8"/>
  <c r="H13" i="8"/>
  <c r="J11" i="8"/>
  <c r="H11" i="8"/>
  <c r="J9" i="8"/>
  <c r="H9" i="8"/>
  <c r="C38" i="8"/>
  <c r="B38" i="8"/>
  <c r="C36" i="8"/>
  <c r="C34" i="8"/>
  <c r="C31" i="8"/>
  <c r="C32" i="8" s="1"/>
  <c r="C28" i="8"/>
  <c r="C26" i="8"/>
  <c r="C23" i="8"/>
  <c r="C24" i="8" s="1"/>
  <c r="C20" i="8"/>
  <c r="C18" i="8"/>
  <c r="C15" i="8"/>
  <c r="C16" i="8" s="1"/>
  <c r="C12" i="8"/>
  <c r="C10" i="8"/>
  <c r="C7" i="8"/>
  <c r="C8" i="8" s="1"/>
  <c r="T30" i="7"/>
  <c r="U30" i="7" s="1"/>
  <c r="T29" i="7"/>
  <c r="U29" i="7" s="1"/>
  <c r="T28" i="7"/>
  <c r="U28" i="7" s="1"/>
  <c r="T27" i="7"/>
  <c r="U27" i="7" s="1"/>
  <c r="U26" i="7"/>
  <c r="U25" i="7"/>
  <c r="U24" i="7"/>
  <c r="T23" i="7"/>
  <c r="U23" i="7" s="1"/>
  <c r="U22" i="7"/>
  <c r="T21" i="7"/>
  <c r="U20" i="7"/>
  <c r="U19" i="7"/>
  <c r="U18" i="7"/>
  <c r="T17" i="7"/>
  <c r="U17" i="7" s="1"/>
  <c r="U16" i="7"/>
  <c r="T15" i="7"/>
  <c r="U15" i="7" s="1"/>
  <c r="U14" i="7"/>
  <c r="T13" i="7"/>
  <c r="U13" i="7" s="1"/>
  <c r="T12" i="7"/>
  <c r="U12" i="7" s="1"/>
  <c r="U11" i="7"/>
  <c r="T10" i="7"/>
  <c r="U10" i="7" s="1"/>
  <c r="U9" i="7"/>
  <c r="T8" i="7"/>
  <c r="U7" i="7"/>
  <c r="C38" i="7"/>
  <c r="B38" i="7"/>
  <c r="C36" i="7"/>
  <c r="C34" i="7"/>
  <c r="C31" i="7"/>
  <c r="C32" i="7" s="1"/>
  <c r="C28" i="7"/>
  <c r="C26" i="7"/>
  <c r="C23" i="7"/>
  <c r="C24" i="7" s="1"/>
  <c r="C20" i="7"/>
  <c r="C18" i="7"/>
  <c r="C15" i="7"/>
  <c r="C16" i="7" s="1"/>
  <c r="C12" i="7"/>
  <c r="C10" i="7"/>
  <c r="C7" i="7"/>
  <c r="C8" i="7" s="1"/>
  <c r="P31" i="4"/>
  <c r="O29" i="4"/>
  <c r="Q29" i="4" s="1"/>
  <c r="O28" i="4"/>
  <c r="Q28" i="4" s="1"/>
  <c r="O27" i="4"/>
  <c r="Q27" i="4" s="1"/>
  <c r="O26" i="4"/>
  <c r="Q26" i="4" s="1"/>
  <c r="Q25" i="4"/>
  <c r="Q24" i="4"/>
  <c r="Q23" i="4"/>
  <c r="O22" i="4"/>
  <c r="Q22" i="4" s="1"/>
  <c r="Q21" i="4"/>
  <c r="Q20" i="4"/>
  <c r="Q19" i="4"/>
  <c r="Q18" i="4"/>
  <c r="Q17" i="4"/>
  <c r="O16" i="4"/>
  <c r="Q16" i="4" s="1"/>
  <c r="Q15" i="4"/>
  <c r="O14" i="4"/>
  <c r="Q14" i="4" s="1"/>
  <c r="Q13" i="4"/>
  <c r="Q12" i="4"/>
  <c r="O11" i="4"/>
  <c r="Q11" i="4" s="1"/>
  <c r="Q10" i="4"/>
  <c r="O9" i="4"/>
  <c r="Q8" i="4"/>
  <c r="Q7" i="4"/>
  <c r="Q6" i="4"/>
  <c r="D44" i="4"/>
  <c r="D43" i="4"/>
  <c r="D42" i="4"/>
  <c r="D41" i="4"/>
  <c r="C40" i="4"/>
  <c r="D40" i="4" s="1"/>
  <c r="C39" i="4"/>
  <c r="D39" i="4" s="1"/>
  <c r="D36" i="4"/>
  <c r="D35" i="4"/>
  <c r="D34" i="4"/>
  <c r="D33" i="4"/>
  <c r="C32" i="4"/>
  <c r="D32" i="4" s="1"/>
  <c r="C31" i="4"/>
  <c r="D31" i="4" s="1"/>
  <c r="D28" i="4"/>
  <c r="D27" i="4"/>
  <c r="D26" i="4"/>
  <c r="D25" i="4"/>
  <c r="C24" i="4"/>
  <c r="D24" i="4" s="1"/>
  <c r="C23" i="4"/>
  <c r="D23" i="4" s="1"/>
  <c r="D20" i="4"/>
  <c r="D19" i="4"/>
  <c r="D18" i="4"/>
  <c r="D17" i="4"/>
  <c r="C16" i="4"/>
  <c r="D16" i="4" s="1"/>
  <c r="C15" i="4"/>
  <c r="D15" i="4" s="1"/>
  <c r="C10" i="4"/>
  <c r="D10" i="4" s="1"/>
  <c r="C9" i="4"/>
  <c r="D9" i="4" s="1"/>
  <c r="C8" i="4"/>
  <c r="D8" i="4" s="1"/>
  <c r="C7" i="4"/>
  <c r="C6" i="4"/>
  <c r="D6" i="4" s="1"/>
  <c r="P31" i="3"/>
  <c r="O31" i="3"/>
  <c r="Q29" i="3"/>
  <c r="Q28" i="3"/>
  <c r="Q27" i="3"/>
  <c r="Q26" i="3"/>
  <c r="Q25" i="3"/>
  <c r="Q24" i="3"/>
  <c r="Q23" i="3"/>
  <c r="Q22" i="3"/>
  <c r="Q21" i="3"/>
  <c r="Q20" i="3"/>
  <c r="Q19" i="3"/>
  <c r="Q18" i="3"/>
  <c r="Q17" i="3"/>
  <c r="Q16" i="3"/>
  <c r="Q15" i="3"/>
  <c r="Q14" i="3"/>
  <c r="Q13" i="3"/>
  <c r="Q12" i="3"/>
  <c r="Q11" i="3"/>
  <c r="Q10" i="3"/>
  <c r="Q9" i="3"/>
  <c r="Q8" i="3"/>
  <c r="Q7" i="3"/>
  <c r="Q6" i="3"/>
  <c r="K31" i="3"/>
  <c r="K29" i="3"/>
  <c r="K27" i="3"/>
  <c r="J23" i="3"/>
  <c r="K23" i="3" s="1"/>
  <c r="K21" i="3"/>
  <c r="K19" i="3"/>
  <c r="J17" i="3"/>
  <c r="K15" i="3"/>
  <c r="K13" i="3"/>
  <c r="K11" i="3"/>
  <c r="K9" i="3"/>
  <c r="D44" i="3"/>
  <c r="D43" i="3"/>
  <c r="D42" i="3"/>
  <c r="D41" i="3"/>
  <c r="C40" i="3"/>
  <c r="D40" i="3" s="1"/>
  <c r="C39" i="3"/>
  <c r="D39" i="3" s="1"/>
  <c r="D36" i="3"/>
  <c r="D35" i="3"/>
  <c r="D34" i="3"/>
  <c r="D33" i="3"/>
  <c r="C32" i="3"/>
  <c r="D32" i="3" s="1"/>
  <c r="C31" i="3"/>
  <c r="D31" i="3" s="1"/>
  <c r="D28" i="3"/>
  <c r="D27" i="3"/>
  <c r="D26" i="3"/>
  <c r="D25" i="3"/>
  <c r="C24" i="3"/>
  <c r="D24" i="3" s="1"/>
  <c r="C23" i="3"/>
  <c r="D23" i="3" s="1"/>
  <c r="D20" i="3"/>
  <c r="D19" i="3"/>
  <c r="D18" i="3"/>
  <c r="D17" i="3"/>
  <c r="C16" i="3"/>
  <c r="D16" i="3" s="1"/>
  <c r="C15" i="3"/>
  <c r="D15" i="3" s="1"/>
  <c r="C10" i="3"/>
  <c r="D10" i="3" s="1"/>
  <c r="C9" i="3"/>
  <c r="D9" i="3" s="1"/>
  <c r="C8" i="3"/>
  <c r="D8" i="3" s="1"/>
  <c r="C7" i="3"/>
  <c r="C6" i="3"/>
  <c r="D6" i="3" s="1"/>
  <c r="L44" i="1"/>
  <c r="L43" i="1"/>
  <c r="L42" i="1"/>
  <c r="L41" i="1"/>
  <c r="L40" i="1"/>
  <c r="L39" i="1"/>
  <c r="L36" i="1"/>
  <c r="L35" i="1"/>
  <c r="L34" i="1"/>
  <c r="L33" i="1"/>
  <c r="L32" i="1"/>
  <c r="L31" i="1"/>
  <c r="L15" i="1"/>
  <c r="K12" i="1"/>
  <c r="L12" i="1" s="1"/>
  <c r="R31" i="1"/>
  <c r="Q31" i="1"/>
  <c r="S29" i="1"/>
  <c r="S28" i="1"/>
  <c r="S27" i="1"/>
  <c r="S26" i="1"/>
  <c r="S25" i="1"/>
  <c r="S24" i="1"/>
  <c r="S23" i="1"/>
  <c r="S22" i="1"/>
  <c r="S21" i="1"/>
  <c r="S20" i="1"/>
  <c r="S19" i="1"/>
  <c r="S18" i="1"/>
  <c r="S17" i="1"/>
  <c r="S16" i="1"/>
  <c r="S15" i="1"/>
  <c r="S14" i="1"/>
  <c r="S13" i="1"/>
  <c r="S12" i="1"/>
  <c r="S11" i="1"/>
  <c r="S10" i="1"/>
  <c r="S8" i="1"/>
  <c r="S7" i="1"/>
  <c r="S6" i="1"/>
  <c r="D34" i="1"/>
  <c r="E31" i="1"/>
  <c r="E29" i="1"/>
  <c r="E27" i="1"/>
  <c r="E25" i="1"/>
  <c r="E23" i="1"/>
  <c r="E21" i="1"/>
  <c r="E19" i="1"/>
  <c r="E17" i="1"/>
  <c r="G23" i="11" l="1"/>
  <c r="G25" i="11" s="1"/>
  <c r="G32" i="11" s="1"/>
  <c r="I25" i="11"/>
  <c r="J17" i="11"/>
  <c r="P30" i="10"/>
  <c r="G22" i="10"/>
  <c r="G24" i="10" s="1"/>
  <c r="G31" i="10" s="1"/>
  <c r="I24" i="10"/>
  <c r="J16" i="10"/>
  <c r="Q33" i="9"/>
  <c r="I25" i="9"/>
  <c r="J17" i="9"/>
  <c r="P33" i="8"/>
  <c r="G25" i="8"/>
  <c r="H17" i="8"/>
  <c r="I25" i="8"/>
  <c r="J17" i="8"/>
  <c r="T32" i="7"/>
  <c r="U32" i="7" s="1"/>
  <c r="U8" i="7"/>
  <c r="O31" i="4"/>
  <c r="Q9" i="4"/>
  <c r="Q31" i="4"/>
  <c r="C12" i="4"/>
  <c r="D12" i="4" s="1"/>
  <c r="D7" i="4"/>
  <c r="Q31" i="3"/>
  <c r="J25" i="3"/>
  <c r="K25" i="3" s="1"/>
  <c r="K17" i="3"/>
  <c r="C12" i="3"/>
  <c r="D12" i="3" s="1"/>
  <c r="D7" i="3"/>
  <c r="S31" i="1"/>
  <c r="I32" i="11" l="1"/>
  <c r="J25" i="11"/>
  <c r="J32" i="11" s="1"/>
  <c r="I31" i="10"/>
  <c r="J24" i="10"/>
  <c r="J31" i="10" s="1"/>
  <c r="I32" i="9"/>
  <c r="J25" i="9"/>
  <c r="J32" i="9" s="1"/>
  <c r="I34" i="8"/>
  <c r="J25" i="8"/>
  <c r="J34" i="8" s="1"/>
  <c r="G34" i="8"/>
  <c r="H25" i="8"/>
  <c r="H34" i="8"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<sst xmlns="http://schemas.openxmlformats.org/spreadsheetml/2006/main" count="1592" uniqueCount="391">
  <si>
    <t>TABLE 8</t>
  </si>
  <si>
    <t>Table 7</t>
  </si>
  <si>
    <t>Table 9</t>
  </si>
  <si>
    <t>CIRCULATION BORROWING BY PATRON GROUP, FY2023-2024</t>
  </si>
  <si>
    <t>CIRCULATION BORROWING RATES FY2023-2024</t>
  </si>
  <si>
    <t>CIRCULATION OF LIBRARY MATERIALS BY LOCATION</t>
  </si>
  <si>
    <t xml:space="preserve"> FY2023 - FY2024</t>
  </si>
  <si>
    <t>All Locations (Univ Libraries and Music Library)</t>
  </si>
  <si>
    <t>2022-2023</t>
  </si>
  <si>
    <t>2023-2024</t>
  </si>
  <si>
    <t>% Change</t>
  </si>
  <si>
    <t>Class</t>
  </si>
  <si>
    <t xml:space="preserve">Number of </t>
  </si>
  <si>
    <t>Percent</t>
  </si>
  <si>
    <t> </t>
  </si>
  <si>
    <t>Location</t>
  </si>
  <si>
    <t>FY2023</t>
  </si>
  <si>
    <t>FY2024</t>
  </si>
  <si>
    <t>Loans  FY2023</t>
  </si>
  <si>
    <t>of Total</t>
  </si>
  <si>
    <t>Loans  FY2024a</t>
  </si>
  <si>
    <t>Annual Total Checkout Transactions</t>
  </si>
  <si>
    <t>Alkek CD Shelves</t>
  </si>
  <si>
    <t>* Print/Media Collections</t>
  </si>
  <si>
    <r>
      <rPr>
        <sz val="11"/>
        <color rgb="FF000000"/>
        <rFont val="Calibri"/>
        <family val="2"/>
      </rPr>
      <t>Alkek Ask Alkek Desk/Reserve</t>
    </r>
    <r>
      <rPr>
        <vertAlign val="superscript"/>
        <sz val="11"/>
        <color rgb="FF000000"/>
        <rFont val="Calibri"/>
        <family val="2"/>
      </rPr>
      <t>a</t>
    </r>
  </si>
  <si>
    <t xml:space="preserve">* Reserve </t>
  </si>
  <si>
    <r>
      <t>Alkek DVD Shelves</t>
    </r>
    <r>
      <rPr>
        <vertAlign val="superscript"/>
        <sz val="11"/>
        <color rgb="FF000000"/>
        <rFont val="Calibri"/>
        <family val="2"/>
      </rPr>
      <t>b</t>
    </r>
  </si>
  <si>
    <t>Freshman</t>
  </si>
  <si>
    <t>* Equipment/Keys</t>
  </si>
  <si>
    <r>
      <t>Alkek Exhibit Cases/Carts</t>
    </r>
    <r>
      <rPr>
        <vertAlign val="superscript"/>
        <sz val="11"/>
        <color rgb="FF000000"/>
        <rFont val="Calibri"/>
        <family val="2"/>
      </rPr>
      <t>c</t>
    </r>
  </si>
  <si>
    <t>* Laptops/laptop chargers</t>
  </si>
  <si>
    <t>Alkek Game Shelves</t>
  </si>
  <si>
    <t>Sophomore</t>
  </si>
  <si>
    <t>Alkek General Collection, Floors 5-6</t>
  </si>
  <si>
    <r>
      <t>Circulation for ACRL Survey</t>
    </r>
    <r>
      <rPr>
        <b/>
        <vertAlign val="superscript"/>
        <sz val="11"/>
        <color rgb="FF000000"/>
        <rFont val="Calibri"/>
        <family val="2"/>
      </rPr>
      <t>a</t>
    </r>
  </si>
  <si>
    <t xml:space="preserve">Alkek Government Information </t>
  </si>
  <si>
    <t>Junior</t>
  </si>
  <si>
    <t>Alkek Graphic Novels</t>
  </si>
  <si>
    <r>
      <t>Fall Semester</t>
    </r>
    <r>
      <rPr>
        <sz val="11"/>
        <color rgb="FF000000"/>
        <rFont val="Calibri"/>
        <family val="2"/>
      </rPr>
      <t xml:space="preserve"> (Sept-Dec)</t>
    </r>
  </si>
  <si>
    <t>Fall 2022</t>
  </si>
  <si>
    <r>
      <t>Fall 2023-Spring 2024</t>
    </r>
    <r>
      <rPr>
        <vertAlign val="superscript"/>
        <sz val="11"/>
        <color rgb="FF000000"/>
        <rFont val="Calibri"/>
        <family val="2"/>
      </rPr>
      <t>b</t>
    </r>
  </si>
  <si>
    <t>Alkek Juvenile Collection</t>
  </si>
  <si>
    <t>Senior/Post grad</t>
  </si>
  <si>
    <t>Weekly Average</t>
  </si>
  <si>
    <t>Alkek Kits</t>
  </si>
  <si>
    <t>Semester Total</t>
  </si>
  <si>
    <t>Alkek Laptops</t>
  </si>
  <si>
    <r>
      <t xml:space="preserve">Undergraduate </t>
    </r>
    <r>
      <rPr>
        <b/>
        <sz val="11"/>
        <color indexed="8"/>
        <rFont val="Calibri"/>
        <family val="2"/>
        <scheme val="minor"/>
      </rPr>
      <t>TOTAL</t>
    </r>
  </si>
  <si>
    <t>* Print/Media Collection Checkouts</t>
  </si>
  <si>
    <t>Alkek Language Learning Media</t>
  </si>
  <si>
    <t>Alkek Models</t>
  </si>
  <si>
    <t>Masters/Post Grad</t>
  </si>
  <si>
    <t>Alkek New Books Collection</t>
  </si>
  <si>
    <r>
      <t>Alkek One</t>
    </r>
    <r>
      <rPr>
        <vertAlign val="superscript"/>
        <sz val="11"/>
        <color rgb="FF000000"/>
        <rFont val="Calibri"/>
        <family val="2"/>
        <scheme val="minor"/>
      </rPr>
      <t>d</t>
    </r>
  </si>
  <si>
    <t>Doctoral</t>
  </si>
  <si>
    <t>Alkek Popular Reading Collection</t>
  </si>
  <si>
    <r>
      <t xml:space="preserve">Spring Semester </t>
    </r>
    <r>
      <rPr>
        <sz val="11"/>
        <color rgb="FF000000"/>
        <rFont val="Calibri"/>
        <family val="2"/>
      </rPr>
      <t>(Jan-Apr)</t>
    </r>
  </si>
  <si>
    <t>Spring 2023</t>
  </si>
  <si>
    <r>
      <t>Alkek Secured Collection</t>
    </r>
    <r>
      <rPr>
        <vertAlign val="superscript"/>
        <sz val="11"/>
        <color rgb="FF000000"/>
        <rFont val="Calibri"/>
        <family val="2"/>
      </rPr>
      <t xml:space="preserve">d </t>
    </r>
  </si>
  <si>
    <r>
      <t xml:space="preserve">Graduate </t>
    </r>
    <r>
      <rPr>
        <b/>
        <sz val="11"/>
        <color indexed="8"/>
        <rFont val="Calibri"/>
        <family val="2"/>
        <scheme val="minor"/>
      </rPr>
      <t>TOTAL</t>
    </r>
  </si>
  <si>
    <t>Alkek TCMC (K-12 Textbooks)</t>
  </si>
  <si>
    <r>
      <t>Alkek Testing Collection</t>
    </r>
    <r>
      <rPr>
        <vertAlign val="superscript"/>
        <sz val="11"/>
        <color rgb="FF000000"/>
        <rFont val="Calibri"/>
        <family val="2"/>
      </rPr>
      <t>e</t>
    </r>
  </si>
  <si>
    <r>
      <t xml:space="preserve">Student </t>
    </r>
    <r>
      <rPr>
        <b/>
        <sz val="11"/>
        <color indexed="8"/>
        <rFont val="Calibri"/>
        <family val="2"/>
        <scheme val="minor"/>
      </rPr>
      <t>TOTAL</t>
    </r>
  </si>
  <si>
    <t>Alkek Toy Shelves</t>
  </si>
  <si>
    <r>
      <t>Alkek Collections - Other</t>
    </r>
    <r>
      <rPr>
        <vertAlign val="superscript"/>
        <sz val="11"/>
        <color rgb="FF000000"/>
        <rFont val="Calibri"/>
        <family val="2"/>
      </rPr>
      <t>f</t>
    </r>
  </si>
  <si>
    <r>
      <t>Faculty</t>
    </r>
    <r>
      <rPr>
        <vertAlign val="superscript"/>
        <sz val="11"/>
        <color indexed="8"/>
        <rFont val="Calibri"/>
        <family val="2"/>
        <scheme val="minor"/>
      </rPr>
      <t xml:space="preserve"> </t>
    </r>
  </si>
  <si>
    <t>Archives &amp; Research Center</t>
  </si>
  <si>
    <t>Round Rock Library</t>
  </si>
  <si>
    <t>Staff</t>
  </si>
  <si>
    <r>
      <t>Music Library</t>
    </r>
    <r>
      <rPr>
        <vertAlign val="superscript"/>
        <sz val="11"/>
        <color rgb="FF000000"/>
        <rFont val="Calibri"/>
        <family val="2"/>
      </rPr>
      <t>g</t>
    </r>
  </si>
  <si>
    <r>
      <t xml:space="preserve">Summer I </t>
    </r>
    <r>
      <rPr>
        <sz val="11"/>
        <color rgb="FF000000"/>
        <rFont val="Calibri"/>
        <family val="2"/>
      </rPr>
      <t>(May-June)</t>
    </r>
  </si>
  <si>
    <t>Summer I 2023</t>
  </si>
  <si>
    <t>Summer I 2024 (May 23-June)</t>
  </si>
  <si>
    <r>
      <rPr>
        <sz val="11"/>
        <color rgb="FF000000"/>
        <rFont val="Calibri"/>
        <family val="2"/>
      </rPr>
      <t xml:space="preserve">    Other</t>
    </r>
    <r>
      <rPr>
        <vertAlign val="superscript"/>
        <sz val="11"/>
        <color rgb="FF000000"/>
        <rFont val="Calibri"/>
        <family val="2"/>
      </rPr>
      <t>b</t>
    </r>
  </si>
  <si>
    <t>TOTAL</t>
  </si>
  <si>
    <t>Summer I Total</t>
  </si>
  <si>
    <t>Grand Total</t>
  </si>
  <si>
    <r>
      <rPr>
        <vertAlign val="superscript"/>
        <sz val="11"/>
        <color rgb="FF000000"/>
        <rFont val="Calibri"/>
        <family val="2"/>
      </rPr>
      <t xml:space="preserve">a </t>
    </r>
    <r>
      <rPr>
        <sz val="11"/>
        <color rgb="FF000000"/>
        <rFont val="Calibri"/>
        <family val="2"/>
      </rPr>
      <t>Equipment (cameras, projectors, etc.) transferred from Circulation to Alkek One in the course of FY23.</t>
    </r>
  </si>
  <si>
    <r>
      <t xml:space="preserve">b </t>
    </r>
    <r>
      <rPr>
        <sz val="11"/>
        <color rgb="FF000000"/>
        <rFont val="Calibri"/>
        <family val="2"/>
      </rPr>
      <t>A large portion of DVDs moved to ARC.</t>
    </r>
  </si>
  <si>
    <r>
      <t>c</t>
    </r>
    <r>
      <rPr>
        <sz val="11"/>
        <color rgb="FF000000"/>
        <rFont val="Calibri"/>
        <family val="2"/>
      </rPr>
      <t xml:space="preserve"> Includes various Alkek display locations on floors 1-7.</t>
    </r>
  </si>
  <si>
    <r>
      <t xml:space="preserve">d  </t>
    </r>
    <r>
      <rPr>
        <sz val="11"/>
        <color rgb="FF000000"/>
        <rFont val="Calibri"/>
        <family val="2"/>
      </rPr>
      <t>Secured Collection includes books, kits, models, calculators, headphones, and chargers.</t>
    </r>
  </si>
  <si>
    <r>
      <rPr>
        <vertAlign val="superscript"/>
        <sz val="11"/>
        <color rgb="FF000000"/>
        <rFont val="Calibri"/>
        <family val="2"/>
      </rPr>
      <t xml:space="preserve">a </t>
    </r>
    <r>
      <rPr>
        <sz val="11"/>
        <color rgb="FF000000"/>
        <rFont val="Calibri"/>
        <family val="2"/>
      </rPr>
      <t>Combination of Sierra (Sep 2023-May 21, 2024) and FOLIO checkout (May 23 - August, 2024) statistics.</t>
    </r>
  </si>
  <si>
    <r>
      <t xml:space="preserve">Summer II </t>
    </r>
    <r>
      <rPr>
        <sz val="11"/>
        <color rgb="FF000000"/>
        <rFont val="Calibri"/>
        <family val="2"/>
      </rPr>
      <t>(July-Aug)</t>
    </r>
  </si>
  <si>
    <t>Summer II 2023</t>
  </si>
  <si>
    <t>Summer II 2024</t>
  </si>
  <si>
    <r>
      <t xml:space="preserve">e </t>
    </r>
    <r>
      <rPr>
        <sz val="11"/>
        <color rgb="FF000000"/>
        <rFont val="Calibri"/>
        <family val="2"/>
      </rPr>
      <t>Testing Collection was discontinued and items were weeded or relocated to other locations in Spring 2024</t>
    </r>
  </si>
  <si>
    <t>Folio does not accommodate reporting on the freshman/sophomore/junior/senior level.</t>
  </si>
  <si>
    <r>
      <t xml:space="preserve">f  </t>
    </r>
    <r>
      <rPr>
        <sz val="11"/>
        <color rgb="FF000000"/>
        <rFont val="Calibri"/>
        <family val="2"/>
      </rPr>
      <t xml:space="preserve">"Other" includes flash-activity cards, posters, charts, and special Wittliff Collections checkouts. </t>
    </r>
  </si>
  <si>
    <r>
      <rPr>
        <vertAlign val="superscript"/>
        <sz val="11"/>
        <color rgb="FF242424"/>
        <rFont val="Aptos Narrow"/>
      </rPr>
      <t xml:space="preserve">b </t>
    </r>
    <r>
      <rPr>
        <sz val="11"/>
        <color rgb="FF242424"/>
        <rFont val="Aptos Narrow"/>
      </rPr>
      <t xml:space="preserve">Other includes libraries borrowing from us via interlibrary loan, non-university borrowers, retired faculty </t>
    </r>
  </si>
  <si>
    <t>Summer II Total</t>
  </si>
  <si>
    <r>
      <rPr>
        <vertAlign val="superscript"/>
        <sz val="11"/>
        <color rgb="FF000000"/>
        <rFont val="Calibri"/>
        <family val="2"/>
      </rPr>
      <t xml:space="preserve">g </t>
    </r>
    <r>
      <rPr>
        <sz val="11"/>
        <color rgb="FF000000"/>
        <rFont val="Calibri"/>
        <family val="2"/>
      </rPr>
      <t xml:space="preserve">Corrected incorrect  FY23 Music Library total (changed value from 144 to 1,538). </t>
    </r>
  </si>
  <si>
    <t xml:space="preserve">and staff, TexShare card holders, GWLA patrons, and sponsored researchers.  Of these, the interlibrary loan </t>
  </si>
  <si>
    <t>is the largest group, with 6,939 interlibrary loan checkouts.</t>
  </si>
  <si>
    <r>
      <t>a</t>
    </r>
    <r>
      <rPr>
        <sz val="11"/>
        <color rgb="FF000000"/>
        <rFont val="Calibri"/>
        <family val="2"/>
      </rPr>
      <t xml:space="preserve"> </t>
    </r>
    <r>
      <rPr>
        <sz val="10"/>
        <color rgb="FF000000"/>
        <rFont val="Calibri"/>
        <family val="2"/>
      </rPr>
      <t>Finance &amp; Support Services implemented BookSmart implemented in FY2024.</t>
    </r>
  </si>
  <si>
    <t>Table 15</t>
  </si>
  <si>
    <t>TABLE 16</t>
  </si>
  <si>
    <t>Table 17</t>
  </si>
  <si>
    <t>CIRCULATION BORROWING RATES FY2022-2023</t>
  </si>
  <si>
    <t>CIRCULATION BORROWING BY CLASS, FY2022-2023</t>
  </si>
  <si>
    <t xml:space="preserve"> FY2022 - FY2023</t>
  </si>
  <si>
    <r>
      <t>2021-2022</t>
    </r>
    <r>
      <rPr>
        <b/>
        <vertAlign val="superscript"/>
        <sz val="11"/>
        <color rgb="FF000000"/>
        <rFont val="Calibri"/>
        <family val="2"/>
      </rPr>
      <t>a</t>
    </r>
  </si>
  <si>
    <r>
      <t>FY2022</t>
    </r>
    <r>
      <rPr>
        <b/>
        <vertAlign val="superscript"/>
        <sz val="12"/>
        <color rgb="FF000000"/>
        <rFont val="Calibri"/>
        <family val="2"/>
        <scheme val="minor"/>
      </rPr>
      <t>a</t>
    </r>
  </si>
  <si>
    <r>
      <rPr>
        <b/>
        <sz val="12"/>
        <color rgb="FF000000"/>
        <rFont val="Calibri"/>
        <family val="2"/>
      </rPr>
      <t>FY2023</t>
    </r>
    <r>
      <rPr>
        <b/>
        <vertAlign val="superscript"/>
        <sz val="12"/>
        <color rgb="FF000000"/>
        <rFont val="Calibri"/>
        <family val="2"/>
      </rPr>
      <t>b</t>
    </r>
  </si>
  <si>
    <r>
      <t>Loans  FY2022</t>
    </r>
    <r>
      <rPr>
        <b/>
        <vertAlign val="superscript"/>
        <sz val="11"/>
        <color theme="1"/>
        <rFont val="Calibri"/>
        <family val="2"/>
        <scheme val="minor"/>
      </rPr>
      <t>a</t>
    </r>
  </si>
  <si>
    <t xml:space="preserve">Alkek Checkout Desk/Reserve </t>
  </si>
  <si>
    <t>Alkek DVD Shelves</t>
  </si>
  <si>
    <r>
      <t>Alkek Exhibit Cases/Carts</t>
    </r>
    <r>
      <rPr>
        <vertAlign val="superscript"/>
        <sz val="11"/>
        <color rgb="FF000000"/>
        <rFont val="Calibri"/>
        <family val="2"/>
        <scheme val="minor"/>
      </rPr>
      <t>c</t>
    </r>
  </si>
  <si>
    <t>* Computer/Mifi</t>
  </si>
  <si>
    <t>Fall 2020</t>
  </si>
  <si>
    <t>Fall 2021</t>
  </si>
  <si>
    <t>Spring 2021</t>
  </si>
  <si>
    <t>Spring 2022</t>
  </si>
  <si>
    <r>
      <t>Alkek Secured Collection</t>
    </r>
    <r>
      <rPr>
        <vertAlign val="superscript"/>
        <sz val="11"/>
        <color rgb="FF000000"/>
        <rFont val="Calibri"/>
        <family val="2"/>
        <scheme val="minor"/>
      </rPr>
      <t xml:space="preserve">e </t>
    </r>
  </si>
  <si>
    <t>Alkek Testing Collection</t>
  </si>
  <si>
    <t>Alkek Collections - Otherf</t>
  </si>
  <si>
    <t>Music Library</t>
  </si>
  <si>
    <t>Summer I 2021</t>
  </si>
  <si>
    <t>Summer I 2022</t>
  </si>
  <si>
    <r>
      <t>Other</t>
    </r>
    <r>
      <rPr>
        <vertAlign val="superscript"/>
        <sz val="11"/>
        <color theme="1"/>
        <rFont val="Calibri"/>
        <family val="2"/>
        <scheme val="minor"/>
      </rPr>
      <t>c</t>
    </r>
  </si>
  <si>
    <t>a In-person classes resumed in FY2022.</t>
  </si>
  <si>
    <r>
      <rPr>
        <vertAlign val="superscript"/>
        <sz val="11"/>
        <color rgb="FF000000"/>
        <rFont val="Calibri"/>
        <family val="2"/>
      </rPr>
      <t>b</t>
    </r>
    <r>
      <rPr>
        <sz val="11"/>
        <color rgb="FF000000"/>
        <rFont val="Calibri"/>
        <family val="2"/>
      </rPr>
      <t xml:space="preserve"> Large portion of DVDs moved to ARC and circulation relocated to 2nd floor</t>
    </r>
  </si>
  <si>
    <r>
      <t>c</t>
    </r>
    <r>
      <rPr>
        <sz val="11"/>
        <color rgb="FF000000"/>
        <rFont val="Calibri"/>
        <family val="2"/>
        <scheme val="minor"/>
      </rPr>
      <t xml:space="preserve"> Includes Alkek display locations on floors 1, 2, 3, 5 and 6.</t>
    </r>
  </si>
  <si>
    <r>
      <t>d</t>
    </r>
    <r>
      <rPr>
        <sz val="11"/>
        <color rgb="FF000000"/>
        <rFont val="Calibri"/>
        <family val="2"/>
        <scheme val="minor"/>
      </rPr>
      <t xml:space="preserve"> Alkek One opened in August 2020. FY2021 was the first full year of operation.</t>
    </r>
  </si>
  <si>
    <r>
      <t>a</t>
    </r>
    <r>
      <rPr>
        <sz val="11"/>
        <color rgb="FF000000"/>
        <rFont val="Calibri"/>
        <family val="2"/>
        <scheme val="minor"/>
      </rPr>
      <t xml:space="preserve"> In-person classes resumed in FY2022. </t>
    </r>
  </si>
  <si>
    <r>
      <t xml:space="preserve">e  </t>
    </r>
    <r>
      <rPr>
        <sz val="11"/>
        <color rgb="FF000000"/>
        <rFont val="Calibri"/>
        <family val="2"/>
        <scheme val="minor"/>
      </rPr>
      <t>Secured Collection includes  equipment, books, kits, models, and DVDs.</t>
    </r>
  </si>
  <si>
    <t>Summer II 2021</t>
  </si>
  <si>
    <t>Summer II 2022</t>
  </si>
  <si>
    <t>b Other includes correspondence students, libraries borrowing from us via interlibrary loan, non-university borrowers, retired faculty and staff, TexShare card holders, and GWLA patrons. Of these, the interlibrary loan is the largest group, with 8,273 interlibrary loan checkouts (12.7 of all of our checkouts).</t>
  </si>
  <si>
    <r>
      <t xml:space="preserve">f  </t>
    </r>
    <r>
      <rPr>
        <sz val="11"/>
        <color rgb="FF000000"/>
        <rFont val="Calibri"/>
        <family val="2"/>
        <scheme val="minor"/>
      </rPr>
      <t xml:space="preserve">"Other" includes flash-activity cards, posters, charts, and special Wittliff Collections checkouts. </t>
    </r>
  </si>
  <si>
    <r>
      <t>a</t>
    </r>
    <r>
      <rPr>
        <sz val="10"/>
        <color rgb="FF000000"/>
        <rFont val="Calibri"/>
        <family val="2"/>
      </rPr>
      <t>ACRL Survey circulation includes print, media, and reserve circulation but excludes laptop, equipment, and interlibrary loan checkouts.</t>
    </r>
    <r>
      <rPr>
        <vertAlign val="superscript"/>
        <sz val="11"/>
        <color rgb="FF000000"/>
        <rFont val="Calibri"/>
        <family val="2"/>
      </rPr>
      <t xml:space="preserve"> </t>
    </r>
    <r>
      <rPr>
        <sz val="10"/>
        <color rgb="FF000000"/>
        <rFont val="Calibri"/>
        <family val="2"/>
      </rPr>
      <t>In FY2022, there were 8,164 interlibrary loan checkouts (12.7 of all checkouts).</t>
    </r>
  </si>
  <si>
    <t>TABLE 12</t>
  </si>
  <si>
    <t>Table 13</t>
  </si>
  <si>
    <t>CIRCULATION BORROWING RATES FY2021-2022</t>
  </si>
  <si>
    <t>CIRCULATION BORROWING BY CLASS, FY2021-2022</t>
  </si>
  <si>
    <t xml:space="preserve"> FY2021 - FY2022</t>
  </si>
  <si>
    <r>
      <t>2020-2021</t>
    </r>
    <r>
      <rPr>
        <b/>
        <vertAlign val="superscript"/>
        <sz val="11"/>
        <color rgb="FF000000"/>
        <rFont val="Calibri"/>
        <family val="2"/>
      </rPr>
      <t>b</t>
    </r>
  </si>
  <si>
    <t>2021-2022</t>
  </si>
  <si>
    <r>
      <t>FY2021</t>
    </r>
    <r>
      <rPr>
        <b/>
        <vertAlign val="superscript"/>
        <sz val="12"/>
        <color rgb="FF000000"/>
        <rFont val="Calibri"/>
        <family val="2"/>
        <scheme val="minor"/>
      </rPr>
      <t>a</t>
    </r>
  </si>
  <si>
    <r>
      <t>FY2022</t>
    </r>
    <r>
      <rPr>
        <b/>
        <vertAlign val="superscript"/>
        <sz val="12"/>
        <color rgb="FF000000"/>
        <rFont val="Calibri"/>
        <family val="2"/>
        <scheme val="minor"/>
      </rPr>
      <t>b</t>
    </r>
  </si>
  <si>
    <r>
      <t>Loans FY2021</t>
    </r>
    <r>
      <rPr>
        <b/>
        <vertAlign val="superscript"/>
        <sz val="11"/>
        <color theme="1"/>
        <rFont val="Calibri"/>
        <family val="2"/>
        <scheme val="minor"/>
      </rPr>
      <t>a</t>
    </r>
  </si>
  <si>
    <r>
      <t>Loans  FY2022</t>
    </r>
    <r>
      <rPr>
        <b/>
        <vertAlign val="superscript"/>
        <sz val="11"/>
        <color theme="1"/>
        <rFont val="Calibri"/>
        <family val="2"/>
        <scheme val="minor"/>
      </rPr>
      <t>b</t>
    </r>
  </si>
  <si>
    <r>
      <t>Alkek Collections - Other</t>
    </r>
    <r>
      <rPr>
        <vertAlign val="superscript"/>
        <sz val="11"/>
        <color rgb="FF000000"/>
        <rFont val="Calibri"/>
        <family val="2"/>
        <scheme val="minor"/>
      </rPr>
      <t>e</t>
    </r>
  </si>
  <si>
    <r>
      <t>Staff</t>
    </r>
    <r>
      <rPr>
        <vertAlign val="superscript"/>
        <sz val="11"/>
        <color theme="1"/>
        <rFont val="Calibri"/>
        <family val="2"/>
        <scheme val="minor"/>
      </rPr>
      <t>c</t>
    </r>
  </si>
  <si>
    <r>
      <t xml:space="preserve">a </t>
    </r>
    <r>
      <rPr>
        <sz val="11"/>
        <color rgb="FF000000"/>
        <rFont val="Calibri"/>
        <family val="2"/>
        <scheme val="minor"/>
      </rPr>
      <t xml:space="preserve">Online/hybrid classes impacted checkouts of physical materials throughout FY2021. </t>
    </r>
  </si>
  <si>
    <r>
      <rPr>
        <vertAlign val="superscript"/>
        <sz val="11"/>
        <color theme="1"/>
        <rFont val="Calibri"/>
        <family val="2"/>
        <scheme val="minor"/>
      </rPr>
      <t>b</t>
    </r>
    <r>
      <rPr>
        <sz val="11"/>
        <color theme="1"/>
        <rFont val="Aptos Narrow"/>
        <family val="2"/>
        <scheme val="minor"/>
      </rPr>
      <t xml:space="preserve"> In-person classes resumed in FY2022.</t>
    </r>
  </si>
  <si>
    <r>
      <t>a</t>
    </r>
    <r>
      <rPr>
        <sz val="11"/>
        <color rgb="FF000000"/>
        <rFont val="Calibri"/>
        <family val="2"/>
        <scheme val="minor"/>
      </rPr>
      <t xml:space="preserve"> Online/hybrid classes impacted checkouts of physical materials throughout FY2021. </t>
    </r>
  </si>
  <si>
    <r>
      <t xml:space="preserve">b </t>
    </r>
    <r>
      <rPr>
        <sz val="11"/>
        <color rgb="FF000000"/>
        <rFont val="Calibri"/>
        <family val="2"/>
        <scheme val="minor"/>
      </rPr>
      <t xml:space="preserve">In-person classes resumed in FY2022. </t>
    </r>
  </si>
  <si>
    <r>
      <rPr>
        <vertAlign val="superscript"/>
        <sz val="11"/>
        <color indexed="8"/>
        <rFont val="Calibri"/>
        <family val="2"/>
        <scheme val="minor"/>
      </rPr>
      <t>c</t>
    </r>
    <r>
      <rPr>
        <sz val="11"/>
        <color indexed="8"/>
        <rFont val="Calibri"/>
        <family val="2"/>
        <scheme val="minor"/>
      </rPr>
      <t xml:space="preserve"> Other includes correspondence students, libraries borrowing from us via interlibrary loan, non-university borrowers, retired faculty and staff, TexShare card holders, and GWLA patrons. Of these, the interlibrary loan is the largest group, with 8,164 interlibrary loan checkouts (12.7 of all of our checkouts).</t>
    </r>
  </si>
  <si>
    <r>
      <rPr>
        <vertAlign val="superscript"/>
        <sz val="10"/>
        <color rgb="FF000000"/>
        <rFont val="Calibri"/>
        <family val="2"/>
      </rPr>
      <t>b</t>
    </r>
    <r>
      <rPr>
        <sz val="10"/>
        <color rgb="FF000000"/>
        <rFont val="Calibri"/>
        <family val="2"/>
      </rPr>
      <t xml:space="preserve"> FY2021 was impacted by stay-at-home recommendations and hybrid/online classes.</t>
    </r>
    <r>
      <rPr>
        <sz val="11"/>
        <color rgb="FF000000"/>
        <rFont val="Calibri"/>
        <family val="2"/>
      </rPr>
      <t xml:space="preserve"> </t>
    </r>
    <r>
      <rPr>
        <sz val="10"/>
        <color rgb="FF000000"/>
        <rFont val="Calibri"/>
        <family val="2"/>
      </rPr>
      <t xml:space="preserve">Faculty were encouraged to use online resources instead of putting hard copy items on reserve. Checkout Desk provided an instructional material scanning service for faculty and a scanning service for students to help provide access to reserve and other print items. </t>
    </r>
  </si>
  <si>
    <t>CIRCULATION BORROWING RATES FY2020-2021</t>
  </si>
  <si>
    <t>CIRCULATION BORROWING BY CLASS, FY2020-2021</t>
  </si>
  <si>
    <t xml:space="preserve"> FY2020 - FY2021</t>
  </si>
  <si>
    <r>
      <t>2019-2020</t>
    </r>
    <r>
      <rPr>
        <b/>
        <vertAlign val="superscript"/>
        <sz val="11"/>
        <color rgb="FF000000"/>
        <rFont val="Calibri"/>
        <family val="2"/>
      </rPr>
      <t>a</t>
    </r>
  </si>
  <si>
    <r>
      <t>2020-2021</t>
    </r>
    <r>
      <rPr>
        <b/>
        <vertAlign val="superscript"/>
        <sz val="11"/>
        <color rgb="FF000000"/>
        <rFont val="Calibri"/>
        <family val="2"/>
      </rPr>
      <t>a</t>
    </r>
  </si>
  <si>
    <r>
      <t>FY2020</t>
    </r>
    <r>
      <rPr>
        <b/>
        <vertAlign val="superscript"/>
        <sz val="12"/>
        <color rgb="FF000000"/>
        <rFont val="Calibri"/>
        <family val="2"/>
      </rPr>
      <t>a</t>
    </r>
  </si>
  <si>
    <r>
      <t>FY2021</t>
    </r>
    <r>
      <rPr>
        <b/>
        <vertAlign val="superscript"/>
        <sz val="12"/>
        <color rgb="FF000000"/>
        <rFont val="Calibri"/>
        <family val="2"/>
      </rPr>
      <t>b</t>
    </r>
  </si>
  <si>
    <r>
      <t>Loans FY2020</t>
    </r>
    <r>
      <rPr>
        <b/>
        <vertAlign val="superscript"/>
        <sz val="11"/>
        <color rgb="FF000000"/>
        <rFont val="Calibri"/>
        <family val="2"/>
      </rPr>
      <t>a</t>
    </r>
  </si>
  <si>
    <r>
      <t>Loans  FY2021</t>
    </r>
    <r>
      <rPr>
        <b/>
        <vertAlign val="superscript"/>
        <sz val="11"/>
        <color rgb="FF000000"/>
        <rFont val="Calibri"/>
        <family val="2"/>
      </rPr>
      <t>b</t>
    </r>
  </si>
  <si>
    <r>
      <t>Circulation for ACRL Survey</t>
    </r>
    <r>
      <rPr>
        <b/>
        <vertAlign val="superscript"/>
        <sz val="11"/>
        <color rgb="FF000000"/>
        <rFont val="Calibri"/>
        <family val="2"/>
      </rPr>
      <t>b</t>
    </r>
  </si>
  <si>
    <t>Fall 2019</t>
  </si>
  <si>
    <r>
      <t>Fall 2020</t>
    </r>
    <r>
      <rPr>
        <b/>
        <vertAlign val="superscript"/>
        <sz val="11"/>
        <color rgb="FF000000"/>
        <rFont val="Calibri"/>
        <family val="2"/>
      </rPr>
      <t>c</t>
    </r>
  </si>
  <si>
    <t>Senior</t>
  </si>
  <si>
    <t>Alkek &amp; McCoy Laptops</t>
  </si>
  <si>
    <r>
      <t>Alkek One</t>
    </r>
    <r>
      <rPr>
        <vertAlign val="superscript"/>
        <sz val="11"/>
        <color rgb="FF000000"/>
        <rFont val="Calibri"/>
        <family val="2"/>
      </rPr>
      <t>d</t>
    </r>
  </si>
  <si>
    <r>
      <t>Spring 2020</t>
    </r>
    <r>
      <rPr>
        <b/>
        <vertAlign val="superscript"/>
        <sz val="11"/>
        <color rgb="FF000000"/>
        <rFont val="Calibri"/>
        <family val="2"/>
      </rPr>
      <t>c</t>
    </r>
  </si>
  <si>
    <r>
      <t>Spring 2021</t>
    </r>
    <r>
      <rPr>
        <b/>
        <vertAlign val="superscript"/>
        <sz val="11"/>
        <color rgb="FF000000"/>
        <rFont val="Calibri"/>
        <family val="2"/>
      </rPr>
      <t>c</t>
    </r>
  </si>
  <si>
    <r>
      <t>Alkek Secured Collection</t>
    </r>
    <r>
      <rPr>
        <vertAlign val="superscript"/>
        <sz val="11"/>
        <color rgb="FF000000"/>
        <rFont val="Calibri"/>
        <family val="2"/>
      </rPr>
      <t xml:space="preserve">e </t>
    </r>
  </si>
  <si>
    <r>
      <t>Alkek Collections - Other</t>
    </r>
    <r>
      <rPr>
        <vertAlign val="superscript"/>
        <sz val="11"/>
        <color rgb="FF000000"/>
        <rFont val="Calibri"/>
        <family val="2"/>
      </rPr>
      <t>e</t>
    </r>
  </si>
  <si>
    <r>
      <t>Faculty</t>
    </r>
    <r>
      <rPr>
        <vertAlign val="superscript"/>
        <sz val="11"/>
        <color rgb="FF000000"/>
        <rFont val="Calibri"/>
        <family val="2"/>
      </rPr>
      <t xml:space="preserve"> </t>
    </r>
  </si>
  <si>
    <r>
      <t>Staff</t>
    </r>
    <r>
      <rPr>
        <vertAlign val="superscript"/>
        <sz val="11"/>
        <color rgb="FF000000"/>
        <rFont val="Calibri"/>
        <family val="2"/>
      </rPr>
      <t>c</t>
    </r>
  </si>
  <si>
    <r>
      <t>Summer I 2020</t>
    </r>
    <r>
      <rPr>
        <b/>
        <vertAlign val="superscript"/>
        <sz val="11"/>
        <color rgb="FF000000"/>
        <rFont val="Calibri"/>
        <family val="2"/>
      </rPr>
      <t>c</t>
    </r>
  </si>
  <si>
    <r>
      <t>Summer I 2021</t>
    </r>
    <r>
      <rPr>
        <b/>
        <vertAlign val="superscript"/>
        <sz val="11"/>
        <color rgb="FF000000"/>
        <rFont val="Calibri"/>
        <family val="2"/>
      </rPr>
      <t>c</t>
    </r>
  </si>
  <si>
    <r>
      <t>Other</t>
    </r>
    <r>
      <rPr>
        <vertAlign val="superscript"/>
        <sz val="11"/>
        <color rgb="FF000000"/>
        <rFont val="Calibri"/>
        <family val="2"/>
      </rPr>
      <t>d</t>
    </r>
  </si>
  <si>
    <r>
      <t>a</t>
    </r>
    <r>
      <rPr>
        <sz val="11"/>
        <color rgb="FF000000"/>
        <rFont val="Calibri"/>
        <family val="2"/>
      </rPr>
      <t xml:space="preserve"> Covid-19 stay-at-home orders and mostly online classes impacted checkouts of physical items in the second half of FY2020.</t>
    </r>
  </si>
  <si>
    <r>
      <t xml:space="preserve">b </t>
    </r>
    <r>
      <rPr>
        <sz val="11"/>
        <color rgb="FF000000"/>
        <rFont val="Calibri"/>
        <family val="2"/>
      </rPr>
      <t xml:space="preserve">Online/hybrid classes impacted checkouts of physical materials throughout FY2021. </t>
    </r>
  </si>
  <si>
    <r>
      <t>c</t>
    </r>
    <r>
      <rPr>
        <sz val="11"/>
        <color rgb="FF000000"/>
        <rFont val="Calibri"/>
        <family val="2"/>
      </rPr>
      <t xml:space="preserve"> Includes Alkek display locations on floors 1, 2, 3, 5 and 6.</t>
    </r>
  </si>
  <si>
    <r>
      <t>d</t>
    </r>
    <r>
      <rPr>
        <sz val="11"/>
        <color rgb="FF000000"/>
        <rFont val="Calibri"/>
        <family val="2"/>
      </rPr>
      <t xml:space="preserve"> Alkek One opened in August 2020. FY2021 was the first full year of operation.</t>
    </r>
  </si>
  <si>
    <r>
      <t>Summer II 2020</t>
    </r>
    <r>
      <rPr>
        <b/>
        <vertAlign val="superscript"/>
        <sz val="11"/>
        <color rgb="FF000000"/>
        <rFont val="Calibri"/>
        <family val="2"/>
      </rPr>
      <t>c</t>
    </r>
  </si>
  <si>
    <r>
      <t>Summer II 2021</t>
    </r>
    <r>
      <rPr>
        <b/>
        <vertAlign val="superscript"/>
        <sz val="11"/>
        <color rgb="FF000000"/>
        <rFont val="Calibri"/>
        <family val="2"/>
      </rPr>
      <t>c</t>
    </r>
  </si>
  <si>
    <r>
      <t xml:space="preserve">e  </t>
    </r>
    <r>
      <rPr>
        <sz val="11"/>
        <color rgb="FF000000"/>
        <rFont val="Calibri"/>
        <family val="2"/>
      </rPr>
      <t>Secured Collection includes  equipment, books, kits, models, and DVDs.</t>
    </r>
  </si>
  <si>
    <r>
      <t xml:space="preserve">f  </t>
    </r>
    <r>
      <rPr>
        <sz val="11"/>
        <color rgb="FF000000"/>
        <rFont val="Calibri"/>
        <family val="2"/>
      </rPr>
      <t xml:space="preserve">"Other" includes digital media, flash-activity cards, posters, current periodicals, and reference items. </t>
    </r>
  </si>
  <si>
    <r>
      <t>c</t>
    </r>
    <r>
      <rPr>
        <sz val="11"/>
        <color rgb="FF000000"/>
        <rFont val="Calibri"/>
        <family val="2"/>
      </rPr>
      <t xml:space="preserve"> Staff separated from Other into its own category in FY2021.</t>
    </r>
  </si>
  <si>
    <r>
      <t>d</t>
    </r>
    <r>
      <rPr>
        <sz val="11"/>
        <color rgb="FF000000"/>
        <rFont val="Calibri"/>
        <family val="2"/>
      </rPr>
      <t xml:space="preserve"> Other includes correspondence students, Interlibrary Loan, non-university borrowers, retired faculty and staff, and TexShare card holders. Other in FY2020 includes staff (i.e. 5,336 or 6%).</t>
    </r>
  </si>
  <si>
    <r>
      <t>a</t>
    </r>
    <r>
      <rPr>
        <sz val="10"/>
        <color rgb="FF000000"/>
        <rFont val="Calibri"/>
        <family val="2"/>
      </rPr>
      <t>Starting with the FY2020-21, this table was modified to more clearly represent the variety of items checked out and to enable easier reporting to national surveys. 2019-2020 information was recompiled to match 2020-2021 information.</t>
    </r>
  </si>
  <si>
    <r>
      <t>b</t>
    </r>
    <r>
      <rPr>
        <sz val="10"/>
        <color rgb="FF000000"/>
        <rFont val="Calibri"/>
        <family val="2"/>
      </rPr>
      <t>ACRL Survey circulation includes print, media, and reserve circulation but excludes laptop, equipment, and interlibrary loan checkouts.</t>
    </r>
  </si>
  <si>
    <r>
      <rPr>
        <vertAlign val="superscript"/>
        <sz val="10"/>
        <color rgb="FF000000"/>
        <rFont val="Calibri"/>
        <family val="2"/>
      </rPr>
      <t>c</t>
    </r>
    <r>
      <rPr>
        <sz val="10"/>
        <color rgb="FF000000"/>
        <rFont val="Calibri"/>
        <family val="2"/>
      </rPr>
      <t>The second half of FY2020 and the entire FY2021 were impacted by stay-at-home recommendations and hybrid/online classes.</t>
    </r>
    <r>
      <rPr>
        <sz val="11"/>
        <color rgb="FF000000"/>
        <rFont val="Calibri"/>
        <family val="2"/>
      </rPr>
      <t xml:space="preserve"> </t>
    </r>
    <r>
      <rPr>
        <sz val="10"/>
        <color rgb="FF000000"/>
        <rFont val="Calibri"/>
        <family val="2"/>
      </rPr>
      <t xml:space="preserve">Faculty were encouraged to use online resources instead of putting hard copy items on reserve. Checkout Desk provided an instructional material scanning service for faculty and a scanning service for students to help provide access to reserve and other print items. </t>
    </r>
  </si>
  <si>
    <t>CIRCULATION BORROWING RATES FY2019-2020</t>
  </si>
  <si>
    <t>LOAN STATISTICS BY CLASS, FY2019-2020</t>
  </si>
  <si>
    <t xml:space="preserve"> FY2019 - FY2020</t>
  </si>
  <si>
    <t>2018-2019</t>
  </si>
  <si>
    <t>2019-2020</t>
  </si>
  <si>
    <t>FY2019</t>
  </si>
  <si>
    <r>
      <t>FY2020</t>
    </r>
    <r>
      <rPr>
        <b/>
        <vertAlign val="superscript"/>
        <sz val="12"/>
        <color theme="1"/>
        <rFont val="Calibri"/>
        <family val="2"/>
        <scheme val="minor"/>
      </rPr>
      <t>a</t>
    </r>
  </si>
  <si>
    <t>Fall 2018</t>
  </si>
  <si>
    <t>Loans FY2019</t>
  </si>
  <si>
    <r>
      <t>Loans  FY2020</t>
    </r>
    <r>
      <rPr>
        <b/>
        <vertAlign val="superscript"/>
        <sz val="11"/>
        <color theme="1"/>
        <rFont val="Calibri"/>
        <family val="2"/>
        <scheme val="minor"/>
      </rPr>
      <t>a</t>
    </r>
  </si>
  <si>
    <r>
      <t>Alkek Career Guides Collection</t>
    </r>
    <r>
      <rPr>
        <vertAlign val="superscript"/>
        <sz val="11"/>
        <color theme="1"/>
        <rFont val="Calibri"/>
        <family val="2"/>
        <scheme val="minor"/>
      </rPr>
      <t>b</t>
    </r>
  </si>
  <si>
    <t>N/A</t>
  </si>
  <si>
    <t>Percent Change form Previous Fall</t>
  </si>
  <si>
    <t xml:space="preserve">Regular Charge </t>
  </si>
  <si>
    <r>
      <t>Alkek Exhibit Cases/Carts</t>
    </r>
    <r>
      <rPr>
        <vertAlign val="superscript"/>
        <sz val="11"/>
        <color theme="1"/>
        <rFont val="Calibri"/>
        <family val="2"/>
        <scheme val="minor"/>
      </rPr>
      <t>c</t>
    </r>
  </si>
  <si>
    <t>Reserve Charge</t>
  </si>
  <si>
    <t>Percent Change from Previous Fall</t>
  </si>
  <si>
    <t>Spring 2019</t>
  </si>
  <si>
    <t>Spring 2020</t>
  </si>
  <si>
    <r>
      <t>Percent Change from Previous Spring</t>
    </r>
    <r>
      <rPr>
        <vertAlign val="superscript"/>
        <sz val="11"/>
        <color theme="1"/>
        <rFont val="Calibri"/>
        <family val="2"/>
        <scheme val="minor"/>
      </rPr>
      <t>a</t>
    </r>
  </si>
  <si>
    <r>
      <t>Percent Change from Previous Spring</t>
    </r>
    <r>
      <rPr>
        <vertAlign val="superscript"/>
        <sz val="11"/>
        <color theme="1"/>
        <rFont val="Calibri"/>
        <family val="2"/>
        <scheme val="minor"/>
      </rPr>
      <t>b</t>
    </r>
  </si>
  <si>
    <r>
      <t>Alkek One</t>
    </r>
    <r>
      <rPr>
        <vertAlign val="superscript"/>
        <sz val="11"/>
        <color theme="1"/>
        <rFont val="Calibri"/>
        <family val="2"/>
        <scheme val="minor"/>
      </rPr>
      <t>d</t>
    </r>
  </si>
  <si>
    <t>NEW</t>
  </si>
  <si>
    <t>Summer I</t>
  </si>
  <si>
    <r>
      <t>Alkek Secured Collection</t>
    </r>
    <r>
      <rPr>
        <vertAlign val="superscript"/>
        <sz val="11"/>
        <color theme="1"/>
        <rFont val="Calibri"/>
        <family val="2"/>
        <scheme val="minor"/>
      </rPr>
      <t xml:space="preserve">e </t>
    </r>
  </si>
  <si>
    <r>
      <t>Percent Change from Previous Summer I</t>
    </r>
    <r>
      <rPr>
        <vertAlign val="superscript"/>
        <sz val="11"/>
        <color theme="1"/>
        <rFont val="Calibri"/>
        <family val="2"/>
        <scheme val="minor"/>
      </rPr>
      <t>a</t>
    </r>
  </si>
  <si>
    <t>Alkek TCMC</t>
  </si>
  <si>
    <r>
      <t>Percent Change from Previous Summer I</t>
    </r>
    <r>
      <rPr>
        <vertAlign val="superscript"/>
        <sz val="11"/>
        <color theme="1"/>
        <rFont val="Calibri"/>
        <family val="2"/>
        <scheme val="minor"/>
      </rPr>
      <t>b</t>
    </r>
  </si>
  <si>
    <r>
      <t xml:space="preserve">Other </t>
    </r>
    <r>
      <rPr>
        <vertAlign val="superscript"/>
        <sz val="11"/>
        <color indexed="8"/>
        <rFont val="Calibri"/>
        <family val="2"/>
        <scheme val="minor"/>
      </rPr>
      <t>b</t>
    </r>
  </si>
  <si>
    <t>Summer II</t>
  </si>
  <si>
    <r>
      <t>Other</t>
    </r>
    <r>
      <rPr>
        <vertAlign val="superscript"/>
        <sz val="11"/>
        <color theme="1"/>
        <rFont val="Calibri"/>
        <family val="2"/>
        <scheme val="minor"/>
      </rPr>
      <t>e</t>
    </r>
  </si>
  <si>
    <r>
      <t>Percent Change from Previous Summer Ii</t>
    </r>
    <r>
      <rPr>
        <vertAlign val="superscript"/>
        <sz val="11"/>
        <color theme="1"/>
        <rFont val="Calibri"/>
        <family val="2"/>
        <scheme val="minor"/>
      </rPr>
      <t>a</t>
    </r>
  </si>
  <si>
    <r>
      <rPr>
        <vertAlign val="superscript"/>
        <sz val="11"/>
        <color theme="1"/>
        <rFont val="Calibri"/>
        <family val="2"/>
        <scheme val="minor"/>
      </rPr>
      <t>a</t>
    </r>
    <r>
      <rPr>
        <sz val="11"/>
        <color theme="1"/>
        <rFont val="Aptos Narrow"/>
        <family val="2"/>
        <scheme val="minor"/>
      </rPr>
      <t xml:space="preserve"> In the second half of the year (March to August), checkout transactions declined due to Covid-19 stay-at-home orders.</t>
    </r>
  </si>
  <si>
    <r>
      <rPr>
        <vertAlign val="superscript"/>
        <sz val="11"/>
        <color theme="1"/>
        <rFont val="Calibri"/>
        <family val="2"/>
        <scheme val="minor"/>
      </rPr>
      <t>a</t>
    </r>
    <r>
      <rPr>
        <sz val="11"/>
        <color theme="1"/>
        <rFont val="Aptos Narrow"/>
        <family val="2"/>
        <scheme val="minor"/>
      </rPr>
      <t xml:space="preserve"> In the second half of the year, checkout transactions declined due to Covid-19 stay-at-home orders.</t>
    </r>
  </si>
  <si>
    <r>
      <t>Percent Change from Previous Summer Ii</t>
    </r>
    <r>
      <rPr>
        <vertAlign val="superscript"/>
        <sz val="11"/>
        <color theme="1"/>
        <rFont val="Calibri"/>
        <family val="2"/>
        <scheme val="minor"/>
      </rPr>
      <t>b</t>
    </r>
  </si>
  <si>
    <r>
      <rPr>
        <vertAlign val="superscript"/>
        <sz val="11"/>
        <color indexed="8"/>
        <rFont val="Calibri"/>
        <family val="2"/>
        <scheme val="minor"/>
      </rPr>
      <t>b</t>
    </r>
    <r>
      <rPr>
        <sz val="11"/>
        <color indexed="8"/>
        <rFont val="Calibri"/>
        <family val="2"/>
        <scheme val="minor"/>
      </rPr>
      <t xml:space="preserve"> Other includes staff, correspondence students, Interlibrary Loan, non-university borrowers, retired faculty and staff, and TexShare card holders.</t>
    </r>
  </si>
  <si>
    <r>
      <rPr>
        <vertAlign val="superscript"/>
        <sz val="11"/>
        <color theme="1"/>
        <rFont val="Calibri"/>
        <family val="2"/>
        <scheme val="minor"/>
      </rPr>
      <t>b</t>
    </r>
    <r>
      <rPr>
        <sz val="11"/>
        <color theme="1"/>
        <rFont val="Aptos Narrow"/>
        <family val="2"/>
        <scheme val="minor"/>
      </rPr>
      <t xml:space="preserve"> Career Guides location ceased to exist, and items were withdrawn or relocated to other collections.   </t>
    </r>
  </si>
  <si>
    <r>
      <rPr>
        <vertAlign val="superscript"/>
        <sz val="11"/>
        <color theme="1"/>
        <rFont val="Calibri"/>
        <family val="2"/>
        <scheme val="minor"/>
      </rPr>
      <t>c</t>
    </r>
    <r>
      <rPr>
        <sz val="11"/>
        <color theme="1"/>
        <rFont val="Aptos Narrow"/>
        <family val="2"/>
        <scheme val="minor"/>
      </rPr>
      <t xml:space="preserve"> FY2019 only included Periodicals/Media Exhibit, FY2020  includes exhibits on floors 2, 3 and 6.</t>
    </r>
  </si>
  <si>
    <t>Annual Total</t>
  </si>
  <si>
    <r>
      <rPr>
        <vertAlign val="superscript"/>
        <sz val="11"/>
        <color theme="1"/>
        <rFont val="Calibri"/>
        <family val="2"/>
        <scheme val="minor"/>
      </rPr>
      <t>d</t>
    </r>
    <r>
      <rPr>
        <sz val="11"/>
        <color theme="1"/>
        <rFont val="Aptos Narrow"/>
        <family val="2"/>
        <scheme val="minor"/>
      </rPr>
      <t xml:space="preserve"> Alkek One opened in August 2020. </t>
    </r>
  </si>
  <si>
    <r>
      <t xml:space="preserve">e  </t>
    </r>
    <r>
      <rPr>
        <sz val="11"/>
        <color theme="1"/>
        <rFont val="Aptos Narrow"/>
        <family val="2"/>
        <scheme val="minor"/>
      </rPr>
      <t>Secured Collection includes  equipment, books, kits, models, and DVDs.</t>
    </r>
  </si>
  <si>
    <r>
      <t xml:space="preserve">f  </t>
    </r>
    <r>
      <rPr>
        <sz val="11"/>
        <color theme="1"/>
        <rFont val="Aptos Narrow"/>
        <family val="2"/>
        <scheme val="minor"/>
      </rPr>
      <t xml:space="preserve">"Other" includes digital media, flash-activity cards, posters, current periodicals, and reference. </t>
    </r>
  </si>
  <si>
    <r>
      <rPr>
        <vertAlign val="superscript"/>
        <sz val="11"/>
        <color theme="1"/>
        <rFont val="Calibri"/>
        <family val="2"/>
        <scheme val="minor"/>
      </rPr>
      <t>b</t>
    </r>
    <r>
      <rPr>
        <sz val="11"/>
        <color theme="1"/>
        <rFont val="Aptos Narrow"/>
        <family val="2"/>
        <scheme val="minor"/>
      </rPr>
      <t xml:space="preserve"> Faculty were encouraged to use online resources during the pandemic instead of putting hard copy items on reserve. Checkout Desk provided an instructional material scanning service and a scanning service for students to help provide access to reserve and other print items. 42 instructional material scanning requests were received in March-August from faculty for 93 books. 57 requests were received in the same timeframe to scan individual chapters for study/research purposes. </t>
    </r>
  </si>
  <si>
    <t>Table 16</t>
  </si>
  <si>
    <t>CIRCULATION BORROWING RATES FY2018-2019</t>
  </si>
  <si>
    <t>LOAN STATISTICS BY CLASS, FY2018-2019</t>
  </si>
  <si>
    <t xml:space="preserve"> FY2018 - FY2019</t>
  </si>
  <si>
    <t>2017-2018</t>
  </si>
  <si>
    <t>Materials</t>
  </si>
  <si>
    <t>FY2018</t>
  </si>
  <si>
    <t>Fall 2017</t>
  </si>
  <si>
    <t>Loans FY2018</t>
  </si>
  <si>
    <t>Loans  FY2019</t>
  </si>
  <si>
    <r>
      <t>Alkek Bound Periodicals</t>
    </r>
    <r>
      <rPr>
        <vertAlign val="superscript"/>
        <sz val="11"/>
        <color theme="1"/>
        <rFont val="Calibri"/>
        <family val="2"/>
        <scheme val="minor"/>
      </rPr>
      <t>a</t>
    </r>
  </si>
  <si>
    <t>NA</t>
  </si>
  <si>
    <t>Alkek Circulation/Reserve Desk</t>
  </si>
  <si>
    <t>Spring 2018</t>
  </si>
  <si>
    <t>Senior/Post Grad</t>
  </si>
  <si>
    <t>Percent Change from Previous Spring</t>
  </si>
  <si>
    <r>
      <t>LPs</t>
    </r>
    <r>
      <rPr>
        <vertAlign val="superscript"/>
        <sz val="11"/>
        <color theme="1"/>
        <rFont val="Calibri"/>
        <family val="2"/>
        <scheme val="minor"/>
      </rPr>
      <t>c</t>
    </r>
  </si>
  <si>
    <t>Alkek Language Learning Media Collection</t>
  </si>
  <si>
    <t>Summer I 2018</t>
  </si>
  <si>
    <t>Summer I 2019</t>
  </si>
  <si>
    <t>Percent Change from Previous Summer I</t>
  </si>
  <si>
    <r>
      <t>Alkek Periodicals/Media Exhibit</t>
    </r>
    <r>
      <rPr>
        <vertAlign val="superscript"/>
        <sz val="11"/>
        <color theme="1"/>
        <rFont val="Calibri"/>
        <family val="2"/>
        <scheme val="minor"/>
      </rPr>
      <t>d</t>
    </r>
  </si>
  <si>
    <t xml:space="preserve">      Staff</t>
  </si>
  <si>
    <t>Summer II 2018</t>
  </si>
  <si>
    <t>Summer II 2019</t>
  </si>
  <si>
    <r>
      <t xml:space="preserve">Other </t>
    </r>
    <r>
      <rPr>
        <vertAlign val="superscript"/>
        <sz val="11"/>
        <color indexed="8"/>
        <rFont val="Calibri"/>
        <family val="2"/>
        <scheme val="minor"/>
      </rPr>
      <t>a</t>
    </r>
  </si>
  <si>
    <r>
      <t>Other</t>
    </r>
    <r>
      <rPr>
        <vertAlign val="superscript"/>
        <sz val="11"/>
        <color theme="1"/>
        <rFont val="Calibri"/>
        <family val="2"/>
        <scheme val="minor"/>
      </rPr>
      <t>f</t>
    </r>
  </si>
  <si>
    <t>Percent Change from Previous Summer II</t>
  </si>
  <si>
    <r>
      <rPr>
        <vertAlign val="superscript"/>
        <sz val="11"/>
        <color theme="1"/>
        <rFont val="Calibri"/>
        <family val="2"/>
        <scheme val="minor"/>
      </rPr>
      <t>a</t>
    </r>
    <r>
      <rPr>
        <sz val="11"/>
        <color theme="1"/>
        <rFont val="Aptos Narrow"/>
        <family val="2"/>
        <scheme val="minor"/>
      </rPr>
      <t xml:space="preserve"> Bound Periodicals location ceased to exist, and bound periodicals were transferred to ARC. </t>
    </r>
  </si>
  <si>
    <r>
      <rPr>
        <vertAlign val="superscript"/>
        <sz val="11"/>
        <color theme="1"/>
        <rFont val="Calibri"/>
        <family val="2"/>
        <scheme val="minor"/>
      </rPr>
      <t>b</t>
    </r>
    <r>
      <rPr>
        <sz val="11"/>
        <color theme="1"/>
        <rFont val="Aptos Narrow"/>
        <family val="2"/>
        <scheme val="minor"/>
      </rPr>
      <t xml:space="preserve"> Career Guides location ceased to exist, and items were withdrawn or relocated to other collections. </t>
    </r>
  </si>
  <si>
    <r>
      <rPr>
        <vertAlign val="superscript"/>
        <sz val="11"/>
        <color indexed="8"/>
        <rFont val="Calibri"/>
        <family val="2"/>
        <scheme val="minor"/>
      </rPr>
      <t>a</t>
    </r>
    <r>
      <rPr>
        <sz val="11"/>
        <color indexed="8"/>
        <rFont val="Calibri"/>
        <family val="2"/>
        <scheme val="minor"/>
      </rPr>
      <t xml:space="preserve"> Other includes Interlibrary Loan, non-university borrowers, retired faculty and staff, and TexShare card holders.</t>
    </r>
  </si>
  <si>
    <r>
      <rPr>
        <vertAlign val="superscript"/>
        <sz val="11"/>
        <color theme="1"/>
        <rFont val="Calibri"/>
        <family val="2"/>
        <scheme val="minor"/>
      </rPr>
      <t>c</t>
    </r>
    <r>
      <rPr>
        <sz val="11"/>
        <color theme="1"/>
        <rFont val="Aptos Narrow"/>
        <family val="2"/>
        <scheme val="minor"/>
      </rPr>
      <t xml:space="preserve"> LP location ceased to exist, and LPS were transferred to ARC. </t>
    </r>
  </si>
  <si>
    <r>
      <rPr>
        <vertAlign val="superscript"/>
        <sz val="11"/>
        <color theme="1"/>
        <rFont val="Calibri"/>
        <family val="2"/>
        <scheme val="minor"/>
      </rPr>
      <t>d</t>
    </r>
    <r>
      <rPr>
        <sz val="11"/>
        <color theme="1"/>
        <rFont val="Aptos Narrow"/>
        <family val="2"/>
        <scheme val="minor"/>
      </rPr>
      <t xml:space="preserve"> Periodicals/Media Exhibit location ceased to exist. </t>
    </r>
  </si>
  <si>
    <r>
      <rPr>
        <vertAlign val="superscript"/>
        <sz val="11"/>
        <color theme="1"/>
        <rFont val="Calibri"/>
        <family val="2"/>
        <scheme val="minor"/>
      </rPr>
      <t xml:space="preserve">e </t>
    </r>
    <r>
      <rPr>
        <sz val="11"/>
        <color theme="1"/>
        <rFont val="Aptos Narrow"/>
        <family val="2"/>
        <scheme val="minor"/>
      </rPr>
      <t>Secured Collection includes item types of equipment, books, kits, models, and DVDs.</t>
    </r>
  </si>
  <si>
    <r>
      <rPr>
        <vertAlign val="superscript"/>
        <sz val="11"/>
        <color theme="1"/>
        <rFont val="Calibri"/>
        <family val="2"/>
        <scheme val="minor"/>
      </rPr>
      <t>f</t>
    </r>
    <r>
      <rPr>
        <sz val="11"/>
        <color theme="1"/>
        <rFont val="Aptos Narrow"/>
        <family val="2"/>
        <scheme val="minor"/>
      </rPr>
      <t xml:space="preserve"> "Other" includes audiocassettes, braille, digital media, flash-activity cards, microforms, reference, and videocassettes</t>
    </r>
  </si>
  <si>
    <t>CIRCULATION BORROWING RATES FY2017-2018</t>
  </si>
  <si>
    <t>LOAN STATISTICS BY CLASS, FY2017-2018</t>
  </si>
  <si>
    <t xml:space="preserve"> FY2017 - FY2018</t>
  </si>
  <si>
    <t>2016-2017</t>
  </si>
  <si>
    <t>FY2017</t>
  </si>
  <si>
    <t>Fall 2016</t>
  </si>
  <si>
    <t>Loans FY2017</t>
  </si>
  <si>
    <t xml:space="preserve">Loans  FY2018 </t>
  </si>
  <si>
    <t>na</t>
  </si>
  <si>
    <t>Bound Periodicals</t>
  </si>
  <si>
    <t>Career Guides Collection</t>
  </si>
  <si>
    <t>CD Shelves</t>
  </si>
  <si>
    <t>Circulation/Reserve Desk</t>
  </si>
  <si>
    <t>DVD Shelves</t>
  </si>
  <si>
    <t>Game Shelves</t>
  </si>
  <si>
    <t>General Collection, Floors 5-7</t>
  </si>
  <si>
    <t>Spring 2017</t>
  </si>
  <si>
    <t>Government Information</t>
  </si>
  <si>
    <t>Graphic Novels</t>
  </si>
  <si>
    <t>Juvenile Collection</t>
  </si>
  <si>
    <r>
      <t xml:space="preserve">Undergraduate </t>
    </r>
    <r>
      <rPr>
        <b/>
        <sz val="12"/>
        <color indexed="8"/>
        <rFont val="Calibri"/>
        <family val="2"/>
        <scheme val="minor"/>
      </rPr>
      <t>TOTAL</t>
    </r>
  </si>
  <si>
    <t>Kits</t>
  </si>
  <si>
    <r>
      <t>Laptops</t>
    </r>
    <r>
      <rPr>
        <vertAlign val="superscript"/>
        <sz val="11"/>
        <color theme="1"/>
        <rFont val="Calibri"/>
        <family val="2"/>
        <scheme val="minor"/>
      </rPr>
      <t>a</t>
    </r>
  </si>
  <si>
    <t>LPs</t>
  </si>
  <si>
    <t>Language Learning Media Collection</t>
  </si>
  <si>
    <t>Models</t>
  </si>
  <si>
    <r>
      <t xml:space="preserve">Graduate </t>
    </r>
    <r>
      <rPr>
        <b/>
        <sz val="12"/>
        <color indexed="8"/>
        <rFont val="Calibri"/>
        <family val="2"/>
        <scheme val="minor"/>
      </rPr>
      <t>TOTAL</t>
    </r>
  </si>
  <si>
    <t>New Books Collection</t>
  </si>
  <si>
    <t>Periodicals/Media Exhibit</t>
  </si>
  <si>
    <r>
      <t xml:space="preserve">Student </t>
    </r>
    <r>
      <rPr>
        <b/>
        <sz val="12"/>
        <color indexed="8"/>
        <rFont val="Calibri"/>
        <family val="2"/>
        <scheme val="minor"/>
      </rPr>
      <t>TOTAL</t>
    </r>
  </si>
  <si>
    <t>Popular Reading Collection</t>
  </si>
  <si>
    <r>
      <t>Faculty</t>
    </r>
    <r>
      <rPr>
        <vertAlign val="superscript"/>
        <sz val="12"/>
        <color indexed="8"/>
        <rFont val="Calibri"/>
        <family val="2"/>
        <scheme val="minor"/>
      </rPr>
      <t xml:space="preserve"> </t>
    </r>
  </si>
  <si>
    <r>
      <t>Secured Collection</t>
    </r>
    <r>
      <rPr>
        <vertAlign val="superscript"/>
        <sz val="11"/>
        <color theme="1"/>
        <rFont val="Calibri"/>
        <family val="2"/>
        <scheme val="minor"/>
      </rPr>
      <t xml:space="preserve">b </t>
    </r>
  </si>
  <si>
    <t>TCMC</t>
  </si>
  <si>
    <r>
      <t xml:space="preserve">Other </t>
    </r>
    <r>
      <rPr>
        <vertAlign val="superscript"/>
        <sz val="12"/>
        <color indexed="8"/>
        <rFont val="Calibri"/>
        <family val="2"/>
        <scheme val="minor"/>
      </rPr>
      <t>c</t>
    </r>
  </si>
  <si>
    <t>Testing Collection</t>
  </si>
  <si>
    <t>Toy Shelves</t>
  </si>
  <si>
    <r>
      <rPr>
        <vertAlign val="superscript"/>
        <sz val="11"/>
        <color indexed="8"/>
        <rFont val="Calibri"/>
        <family val="2"/>
        <scheme val="minor"/>
      </rPr>
      <t>c</t>
    </r>
    <r>
      <rPr>
        <sz val="11"/>
        <color indexed="8"/>
        <rFont val="Calibri"/>
        <family val="2"/>
        <scheme val="minor"/>
      </rPr>
      <t xml:space="preserve"> Other includes correspondence students, Interlibrary Loan, non-university borrowers, retired faculty and staff, and TexShare card holders</t>
    </r>
  </si>
  <si>
    <r>
      <rPr>
        <vertAlign val="superscript"/>
        <sz val="11"/>
        <color theme="1"/>
        <rFont val="Calibri"/>
        <family val="2"/>
        <scheme val="minor"/>
      </rPr>
      <t>a</t>
    </r>
    <r>
      <rPr>
        <sz val="11"/>
        <color theme="1"/>
        <rFont val="Aptos Narrow"/>
        <family val="2"/>
        <scheme val="minor"/>
      </rPr>
      <t xml:space="preserve"> Laptops &amp; chargers circulated by Instructional Technologies Support (ITS)</t>
    </r>
  </si>
  <si>
    <r>
      <rPr>
        <vertAlign val="superscript"/>
        <sz val="11"/>
        <color theme="1"/>
        <rFont val="Calibri"/>
        <family val="2"/>
        <scheme val="minor"/>
      </rPr>
      <t xml:space="preserve">b </t>
    </r>
    <r>
      <rPr>
        <sz val="11"/>
        <color theme="1"/>
        <rFont val="Aptos Narrow"/>
        <family val="2"/>
        <scheme val="minor"/>
      </rPr>
      <t>Secured Collection includes item types of equipment, books, kits, models, and DVDs.</t>
    </r>
  </si>
  <si>
    <r>
      <rPr>
        <vertAlign val="superscript"/>
        <sz val="11"/>
        <color theme="1"/>
        <rFont val="Calibri"/>
        <family val="2"/>
        <scheme val="minor"/>
      </rPr>
      <t>c</t>
    </r>
    <r>
      <rPr>
        <sz val="11"/>
        <color theme="1"/>
        <rFont val="Aptos Narrow"/>
        <family val="2"/>
        <scheme val="minor"/>
      </rPr>
      <t xml:space="preserve"> "Other" includes audiocassettes, braille, digital media, flash-activity cards, microforms, reference, and videocassettes</t>
    </r>
  </si>
  <si>
    <t>CIRCULATION BORROWING RATES FY2016 - 2017</t>
  </si>
  <si>
    <t>LOAN STATISTICS BY CLASS, AY2016 - 2017</t>
  </si>
  <si>
    <t>CIRCULATION OF LIBRARY MATERIALS* BY LOCATION</t>
  </si>
  <si>
    <t xml:space="preserve"> FY2016 - 2017</t>
  </si>
  <si>
    <t>2015-2016</t>
  </si>
  <si>
    <t>FY2016</t>
  </si>
  <si>
    <t>Fall 2015</t>
  </si>
  <si>
    <t xml:space="preserve">Loans FY2016 </t>
  </si>
  <si>
    <t xml:space="preserve">Loans  FY2017 </t>
  </si>
  <si>
    <r>
      <t>Secured Collection</t>
    </r>
    <r>
      <rPr>
        <vertAlign val="superscript"/>
        <sz val="11"/>
        <color theme="1"/>
        <rFont val="Calibri"/>
        <family val="2"/>
        <scheme val="minor"/>
      </rPr>
      <t xml:space="preserve">a </t>
    </r>
  </si>
  <si>
    <r>
      <t>Other</t>
    </r>
    <r>
      <rPr>
        <vertAlign val="superscript"/>
        <sz val="11"/>
        <color theme="1"/>
        <rFont val="Calibri"/>
        <family val="2"/>
        <scheme val="minor"/>
      </rPr>
      <t>b</t>
    </r>
  </si>
  <si>
    <r>
      <rPr>
        <vertAlign val="superscript"/>
        <sz val="11"/>
        <color theme="1"/>
        <rFont val="Calibri"/>
        <family val="2"/>
        <scheme val="minor"/>
      </rPr>
      <t xml:space="preserve">a </t>
    </r>
    <r>
      <rPr>
        <sz val="11"/>
        <color theme="1"/>
        <rFont val="Aptos Narrow"/>
        <family val="2"/>
        <scheme val="minor"/>
      </rPr>
      <t>Secured Collection includes item types of equipment, books, kits, models, and DVDs.</t>
    </r>
  </si>
  <si>
    <r>
      <rPr>
        <vertAlign val="superscript"/>
        <sz val="11"/>
        <color theme="1"/>
        <rFont val="Calibri"/>
        <family val="2"/>
        <scheme val="minor"/>
      </rPr>
      <t>b</t>
    </r>
    <r>
      <rPr>
        <sz val="11"/>
        <color theme="1"/>
        <rFont val="Aptos Narrow"/>
        <family val="2"/>
        <scheme val="minor"/>
      </rPr>
      <t xml:space="preserve"> "Other" includes audiocassettes, braille, current periodicals, digital media, flash-activity cards, microforms, reference, and videocassettes</t>
    </r>
  </si>
  <si>
    <r>
      <rPr>
        <vertAlign val="superscript"/>
        <sz val="12"/>
        <color indexed="8"/>
        <rFont val="Calibri"/>
        <family val="2"/>
        <scheme val="minor"/>
      </rPr>
      <t>c</t>
    </r>
    <r>
      <rPr>
        <sz val="12"/>
        <color indexed="8"/>
        <rFont val="Calibri"/>
        <family val="2"/>
        <scheme val="minor"/>
      </rPr>
      <t xml:space="preserve"> Other includes correspondence students, Interlibrary Loan, staff, retired faculty and staff, and TexShare card holders</t>
    </r>
  </si>
  <si>
    <r>
      <t>*</t>
    </r>
    <r>
      <rPr>
        <i/>
        <sz val="11"/>
        <color theme="1"/>
        <rFont val="Calibri"/>
        <family val="2"/>
        <scheme val="minor"/>
      </rPr>
      <t>Library Materials</t>
    </r>
    <r>
      <rPr>
        <sz val="11"/>
        <color theme="1"/>
        <rFont val="Aptos Narrow"/>
        <family val="2"/>
        <scheme val="minor"/>
      </rPr>
      <t xml:space="preserve"> does not include laptops and chargers, whose circulation is managed by Instructional Technologies Support.</t>
    </r>
  </si>
  <si>
    <t>Note</t>
  </si>
  <si>
    <t>the circulation by location table is unavailable for 2016</t>
  </si>
  <si>
    <t>CIRCULATION BORROWING RATES AY2015-AY2016</t>
  </si>
  <si>
    <t>LOAN STATISTICS BY CLASS, AY2015-2016</t>
  </si>
  <si>
    <t>2014-2015</t>
  </si>
  <si>
    <t>Fall 2014</t>
  </si>
  <si>
    <t xml:space="preserve">Loans FY2015 </t>
  </si>
  <si>
    <t xml:space="preserve">Loans  FY2016 </t>
  </si>
  <si>
    <t>Spring 2015</t>
  </si>
  <si>
    <t>Spring 2016</t>
  </si>
  <si>
    <r>
      <t xml:space="preserve">Other </t>
    </r>
    <r>
      <rPr>
        <vertAlign val="superscript"/>
        <sz val="11"/>
        <color indexed="8"/>
        <rFont val="Calibri"/>
        <family val="2"/>
        <scheme val="minor"/>
      </rPr>
      <t>c</t>
    </r>
  </si>
  <si>
    <t>TABLE 18</t>
  </si>
  <si>
    <t>the circulation by location table is unavailable for 2015</t>
  </si>
  <si>
    <t>CIRCULATION BORROWING RATES FY2014-FY2015</t>
  </si>
  <si>
    <t>LOAN STATISTICS BY CLASS, FY2014-2015</t>
  </si>
  <si>
    <t>2013-2014</t>
  </si>
  <si>
    <t>Fall 2013</t>
  </si>
  <si>
    <t xml:space="preserve">Loans FY2014 </t>
  </si>
  <si>
    <t xml:space="preserve">Loans  FY2015 </t>
  </si>
  <si>
    <t>Spring 2014</t>
  </si>
  <si>
    <t>Month</t>
  </si>
  <si>
    <t>Year</t>
  </si>
  <si>
    <t>Engagement Type</t>
  </si>
  <si>
    <t>Group Engagement Type </t>
  </si>
  <si>
    <t>Event Type</t>
  </si>
  <si>
    <t>Course Instruction Type</t>
  </si>
  <si>
    <t>Workshop &amp; Presentation Type</t>
  </si>
  <si>
    <t>Workshop &amp; Presentation Type1</t>
  </si>
  <si>
    <t>Workshop &amp; Presentation Type2</t>
  </si>
  <si>
    <t>In Person: Total Number of Sessions</t>
  </si>
  <si>
    <t>In Person: Total Number of Participants</t>
  </si>
  <si>
    <t>Online Synchronous: Total Number of Sessions</t>
  </si>
  <si>
    <t>Online Synchronous: Total Number of Participants</t>
  </si>
  <si>
    <t>Online Asynchronous: Total Number of Sessions</t>
  </si>
  <si>
    <t>Area of Representation (Transactions)</t>
  </si>
  <si>
    <t>Online Asynchronous: Total Number of Particpants</t>
  </si>
  <si>
    <t>Area of Representation (Consultations)</t>
  </si>
  <si>
    <t>Number of Transactions: In-Person</t>
  </si>
  <si>
    <t>Number of Transactions: Virtual</t>
  </si>
  <si>
    <t>Area of Representation (Transactions)1</t>
  </si>
  <si>
    <t>Number of Consultations: In Person</t>
  </si>
  <si>
    <t>Number of Consultations: Virtual</t>
  </si>
  <si>
    <t>September</t>
  </si>
  <si>
    <t>2024</t>
  </si>
  <si>
    <t>Transactions</t>
  </si>
  <si>
    <t>October</t>
  </si>
  <si>
    <t>August</t>
  </si>
  <si>
    <t>Scholarly Resources</t>
  </si>
  <si>
    <t>November</t>
  </si>
  <si>
    <t>Group Sessions</t>
  </si>
  <si>
    <t>Course Instruction</t>
  </si>
  <si>
    <t>In-person, Synchronous</t>
  </si>
  <si>
    <t>Collections</t>
  </si>
  <si>
    <t>Consultations</t>
  </si>
  <si>
    <t>Special Collections</t>
  </si>
  <si>
    <t>AlkekOne (Emerging Technology)</t>
  </si>
  <si>
    <t>AlkekOne</t>
  </si>
  <si>
    <t>Workshops &amp; Presentations</t>
  </si>
  <si>
    <t>Events</t>
  </si>
  <si>
    <t>Non-sponsored</t>
  </si>
  <si>
    <t>Tours</t>
  </si>
  <si>
    <t>December</t>
  </si>
  <si>
    <t>Technology Engagement</t>
  </si>
  <si>
    <t>January</t>
  </si>
  <si>
    <t>Online, Specialized </t>
  </si>
  <si>
    <t>Learning Engagement</t>
  </si>
  <si>
    <t>Online, Synchronous</t>
  </si>
  <si>
    <t>Tabling Events</t>
  </si>
  <si>
    <t>Sponsored</t>
  </si>
  <si>
    <t>Online, Asynchronous</t>
  </si>
  <si>
    <t>Public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</si>
</sst>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font>
      <sz val="11"/>
      <color theme="1"/>
      <name val="Aptos Narrow"/>
      <family val="2"/>
      <scheme val="minor"/>
    </font>
    <font>
      <sz val="11"/>
      <color theme="1"/>
      <name val="Aptos Narrow"/>
      <family val="2"/>
      <scheme val="minor"/>
    </font>
    <font>
      <b/>
      <sz val="16"/>
      <color theme="1"/>
      <name val="Calibri"/>
      <family val="2"/>
      <scheme val="minor"/>
    </font>
    <font>
      <b/>
      <sz val="11"/>
      <color theme="1"/>
      <name val="Calibri"/>
      <family val="2"/>
      <scheme val="minor"/>
    </font>
    <font>
      <b/>
      <sz val="11"/>
      <color rgb="FF000000"/>
      <name val="Calibri"/>
      <family val="2"/>
    </font>
    <font>
      <b/>
      <sz val="11"/>
      <color indexed="8"/>
      <name val="Calibri"/>
      <family val="2"/>
      <scheme val="minor"/>
    </font>
    <font>
      <vertAlign val="superscript"/>
      <sz val="11"/>
      <color indexed="8"/>
      <name val="Calibri"/>
      <family val="2"/>
      <scheme val="minor"/>
    </font>
    <font>
      <sz val="11"/>
      <color rgb="FF000000"/>
      <name val="Calibri"/>
      <family val="2"/>
    </font>
    <font>
      <vertAlign val="superscript"/>
      <sz val="11"/>
      <color rgb="FF000000"/>
      <name val="Calibri"/>
      <family val="2"/>
    </font>
    <font>
      <b/>
      <sz val="11"/>
      <color rgb="FF000000"/>
      <name val="Calibri"/>
      <family val="2"/>
      <scheme val="minor"/>
    </font>
    <font>
      <vertAlign val="superscript"/>
      <sz val="11"/>
      <color rgb="FF000000"/>
      <name val="Calibri"/>
      <family val="2"/>
      <scheme val="minor"/>
    </font>
    <font>
      <sz val="11"/>
      <color rgb="FF000000"/>
      <name val="Calibri"/>
      <family val="2"/>
      <scheme val="minor"/>
    </font>
    <font>
      <sz val="11"/>
      <color rgb="FF242424"/>
      <name val="Aptos Narrow"/>
      <family val="2"/>
    </font>
    <font>
      <sz val="11"/>
      <name val="Aptos Narrow"/>
      <family val="2"/>
    </font>
    <font>
      <b/>
      <sz val="11"/>
      <color theme="0"/>
      <name val="Calibri"/>
      <family val="2"/>
      <scheme val="minor"/>
    </font>
    <font>
      <b/>
      <sz val="12"/>
      <color rgb="FF000000"/>
      <name val="Calibri"/>
      <family val="2"/>
    </font>
    <font>
      <b/>
      <vertAlign val="superscript"/>
      <sz val="11"/>
      <color rgb="FF000000"/>
      <name val="Calibri"/>
      <family val="2"/>
    </font>
    <font>
      <sz val="11"/>
      <name val="Calibri"/>
      <family val="2"/>
    </font>
    <font>
      <sz val="11"/>
      <name val="Calibri"/>
      <family val="2"/>
      <scheme val="minor"/>
    </font>
    <font>
      <vertAlign val="superscript"/>
      <sz val="10"/>
      <color rgb="FF000000"/>
      <name val="Calibri"/>
      <family val="2"/>
    </font>
    <font>
      <sz val="10"/>
      <color rgb="FF000000"/>
      <name val="Calibri"/>
      <family val="2"/>
    </font>
    <font>
      <b/>
      <sz val="16"/>
      <color rgb="FF000000"/>
      <name val="Calibri"/>
      <family val="2"/>
      <scheme val="minor"/>
    </font>
    <font>
      <b/>
      <sz val="12"/>
      <color rgb="FF000000"/>
      <name val="Calibri"/>
      <family val="2"/>
      <scheme val="minor"/>
    </font>
    <font>
      <sz val="10"/>
      <name val="Verdana"/>
      <family val="2"/>
    </font>
    <font>
      <sz val="11"/>
      <color rgb="FF000000"/>
      <name val="Aptos Narrow"/>
      <family val="2"/>
    </font>
    <font>
      <vertAlign val="superscript"/>
      <sz val="11"/>
      <color rgb="FF242424"/>
      <name val="Aptos Narrow"/>
    </font>
    <font>
      <sz val="11"/>
      <color rgb="FF242424"/>
      <name val="Aptos Narrow"/>
    </font>
    <font>
      <b/>
      <vertAlign val="superscript"/>
      <sz val="11"/>
      <color theme="1"/>
      <name val="Calibri"/>
      <family val="2"/>
      <scheme val="minor"/>
    </font>
    <font>
      <vertAlign val="superscript"/>
      <sz val="11"/>
      <color theme="1"/>
      <name val="Calibri"/>
      <family val="2"/>
      <scheme val="minor"/>
    </font>
    <font>
      <b/>
      <vertAlign val="superscript"/>
      <sz val="12"/>
      <color rgb="FF000000"/>
      <name val="Calibri"/>
      <family val="2"/>
      <scheme val="minor"/>
    </font>
    <font>
      <b/>
      <vertAlign val="superscript"/>
      <sz val="12"/>
      <color rgb="FF000000"/>
      <name val="Calibri"/>
      <family val="2"/>
    </font>
    <font>
      <sz val="11"/>
      <color indexed="8"/>
      <name val="Calibri"/>
      <family val="2"/>
      <scheme val="minor"/>
    </font>
    <font>
      <b/>
      <sz val="12"/>
      <color theme="1"/>
      <name val="Calibri"/>
      <family val="2"/>
      <scheme val="minor"/>
    </font>
    <font>
      <b/>
      <sz val="16"/>
      <color theme="1"/>
      <name val="Calibri"/>
    </font>
    <font>
      <b/>
      <sz val="11"/>
      <color theme="1"/>
      <name val="Calibri"/>
    </font>
    <font>
      <b/>
      <sz val="11"/>
      <color rgb="FF000000"/>
      <name val="Calibri"/>
    </font>
    <font>
      <sz val="11"/>
      <color rgb="FF000000"/>
      <name val="Calibri"/>
    </font>
    <font>
      <vertAlign val="superscript"/>
      <sz val="11"/>
      <color rgb="FF000000"/>
      <name val="Calibri"/>
    </font>
    <font>
      <b/>
      <sz val="14"/>
      <color theme="1"/>
      <name val="Calibri"/>
      <family val="2"/>
      <scheme val="minor"/>
    </font>
    <font>
      <b/>
      <vertAlign val="superscript"/>
      <sz val="12"/>
      <color theme="1"/>
      <name val="Calibri"/>
      <family val="2"/>
      <scheme val="minor"/>
    </font>
    <font>
      <sz val="12"/>
      <color theme="1"/>
      <name val="Calibri"/>
      <family val="2"/>
      <scheme val="minor"/>
    </font>
    <font>
      <b/>
      <sz val="12"/>
      <color indexed="8"/>
      <name val="Calibri"/>
      <family val="2"/>
      <scheme val="minor"/>
    </font>
    <font>
      <vertAlign val="superscript"/>
      <sz val="12"/>
      <color indexed="8"/>
      <name val="Calibri"/>
      <family val="2"/>
      <scheme val="minor"/>
    </font>
    <font>
      <sz val="12"/>
      <color indexed="8"/>
      <name val="Calibri"/>
      <family val="2"/>
      <scheme val="minor"/>
    </font>
    <font>
      <i/>
      <sz val="11"/>
      <color theme="1"/>
      <name val="Calibri"/>
      <family val="2"/>
      <scheme val="minor"/>
    </font>
    <font>
      <b/>
      <sz val="11"/>
      <color theme="1"/>
      <name val="Aptos Narrow"/>
      <family val="2"/>
      <scheme val="minor"/>
    </font>
    <font>
      <sz val="11"/>
      <color rgb="FF000000"/>
      <name val="Aptos Narrow"/>
      <charset val="1"/>
    </font>
    <font>
      <b/>
      <sz val="11"/>
      <color rgb="FF000000"/>
      <name val="Aptos Narrow"/>
      <charset val="1"/>
    </font>
  </fonts>
  <fills count="7">
    <fill>
      <patternFill patternType="none"/>
    </fill>
    <fill>
      <patternFill patternType="gray125"/>
    </fill>
    <fill>
      <patternFill patternType="solid">
        <fgColor rgb="FFFFFFFF"/>
        <bgColor rgb="FF000000"/>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rgb="FFDBDBDB"/>
        <bgColor rgb="FF000000"/>
      </patternFill>
    </fill>
  </fills>
  <borders count="22">
    <border>
      <left/>
      <right/>
      <top/>
      <bottom/>
      <diagonal/>
    </border>
    <border>
      <left/>
      <right/>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indexed="64"/>
      </right>
      <top/>
      <bottom/>
      <diagonal/>
    </border>
    <border>
      <left/>
      <right/>
      <top/>
      <bottom style="medium">
        <color indexed="64"/>
      </bottom>
      <diagonal/>
    </border>
    <border>
      <left/>
      <right/>
      <top style="medium">
        <color indexed="64"/>
      </top>
      <bottom style="medium">
        <color indexed="64"/>
      </bottom>
      <diagonal/>
    </border>
    <border>
      <left/>
      <right/>
      <top style="dashed">
        <color auto="1"/>
      </top>
      <bottom/>
      <diagonal/>
    </border>
    <border>
      <left/>
      <right/>
      <top style="medium">
        <color indexed="64"/>
      </top>
      <bottom/>
      <diagonal/>
    </border>
    <border>
      <left/>
      <right style="thin">
        <color auto="1"/>
      </right>
      <top/>
      <bottom/>
      <diagonal/>
    </border>
    <border>
      <left/>
      <right style="thin">
        <color rgb="FF999999"/>
      </right>
      <top/>
      <bottom/>
      <diagonal/>
    </border>
    <border>
      <left/>
      <right style="thin">
        <color rgb="FF999999"/>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29">
    <xf numFmtId="0" fontId="0" fillId="0" borderId="0" xfId="0"/>
    <xf numFmtId="0" fontId="3" fillId="0" borderId="0" xfId="0" applyFont="1" applyAlignment="1">
      <alignment horizontal="center"/>
    </xf>
    <xf numFmtId="0" fontId="0" fillId="0" borderId="1" xfId="0" applyBorder="1"/>
    <xf numFmtId="0" fontId="3" fillId="0" borderId="0" xfId="0" applyFont="1"/>
    <xf numFmtId="0" fontId="4" fillId="0" borderId="0" xfId="0" applyFont="1" applyAlignment="1">
      <alignment horizontal="center"/>
    </xf>
    <xf numFmtId="0" fontId="0" fillId="0" borderId="1" xfId="0" applyBorder="1" applyAlignment="1">
      <alignment horizontal="center"/>
    </xf>
    <xf numFmtId="0" fontId="0" fillId="0" borderId="0" xfId="0" applyAlignment="1">
      <alignment horizontal="center"/>
    </xf>
    <xf numFmtId="0" fontId="0" fillId="0" borderId="0" xfId="0" applyAlignment="1">
      <alignment horizontal="left" indent="2"/>
    </xf>
    <xf numFmtId="3" fontId="0" fillId="0" borderId="0" xfId="0" applyNumberFormat="1" applyAlignment="1">
      <alignment horizontal="center"/>
    </xf>
    <xf numFmtId="164" fontId="0" fillId="0" borderId="0" xfId="0" applyNumberFormat="1" applyAlignment="1">
      <alignment horizontal="center"/>
    </xf>
    <xf numFmtId="3" fontId="0" fillId="0" borderId="1" xfId="0" applyNumberFormat="1" applyBorder="1" applyAlignment="1">
      <alignment horizontal="center"/>
    </xf>
    <xf numFmtId="164" fontId="0" fillId="0" borderId="1" xfId="0" applyNumberFormat="1" applyBorder="1" applyAlignment="1">
      <alignment horizontal="center"/>
    </xf>
    <xf numFmtId="1" fontId="0" fillId="0" borderId="1" xfId="0" applyNumberFormat="1" applyBorder="1" applyAlignment="1">
      <alignment horizontal="center"/>
    </xf>
    <xf numFmtId="0" fontId="7" fillId="0" borderId="0" xfId="0" applyFont="1"/>
    <xf numFmtId="3" fontId="9" fillId="0" borderId="0" xfId="0" applyNumberFormat="1" applyFont="1" applyAlignment="1">
      <alignment horizontal="center"/>
    </xf>
    <xf numFmtId="9" fontId="3" fillId="0" borderId="0" xfId="1" applyFont="1" applyAlignment="1">
      <alignment horizontal="center"/>
    </xf>
    <xf numFmtId="3" fontId="0" fillId="0" borderId="1" xfId="0" applyNumberFormat="1" applyBorder="1"/>
    <xf numFmtId="9" fontId="0" fillId="0" borderId="1" xfId="0" applyNumberFormat="1" applyBorder="1"/>
    <xf numFmtId="0" fontId="10" fillId="0" borderId="0" xfId="0" applyFont="1"/>
    <xf numFmtId="0" fontId="11" fillId="0" borderId="0" xfId="0" applyFont="1"/>
    <xf numFmtId="0" fontId="12" fillId="0" borderId="0" xfId="0" applyFont="1"/>
    <xf numFmtId="0" fontId="13" fillId="0" borderId="0" xfId="0" applyFont="1"/>
    <xf numFmtId="0" fontId="14" fillId="3" borderId="2" xfId="0" applyFont="1" applyFill="1" applyBorder="1"/>
    <xf numFmtId="0" fontId="14" fillId="3" borderId="3" xfId="0" applyFont="1" applyFill="1" applyBorder="1"/>
    <xf numFmtId="0" fontId="0" fillId="4" borderId="2" xfId="0" applyFill="1" applyBorder="1"/>
    <xf numFmtId="0" fontId="0" fillId="4" borderId="2" xfId="0" quotePrefix="1" applyFill="1" applyBorder="1"/>
    <xf numFmtId="0" fontId="0" fillId="4" borderId="3" xfId="0" applyFill="1" applyBorder="1"/>
    <xf numFmtId="0" fontId="0" fillId="0" borderId="2" xfId="0" applyBorder="1"/>
    <xf numFmtId="0" fontId="0" fillId="0" borderId="2" xfId="0" quotePrefix="1" applyBorder="1"/>
    <xf numFmtId="0" fontId="0" fillId="0" borderId="3" xfId="0" applyBorder="1"/>
    <xf numFmtId="49" fontId="0" fillId="0" borderId="2" xfId="0" applyNumberFormat="1" applyBorder="1"/>
    <xf numFmtId="49" fontId="0" fillId="0" borderId="2" xfId="0" quotePrefix="1" applyNumberFormat="1" applyBorder="1"/>
    <xf numFmtId="49" fontId="0" fillId="4" borderId="2" xfId="0" applyNumberFormat="1" applyFill="1" applyBorder="1"/>
    <xf numFmtId="49" fontId="0" fillId="4" borderId="2" xfId="0" quotePrefix="1" applyNumberFormat="1" applyFill="1" applyBorder="1"/>
    <xf numFmtId="0" fontId="4" fillId="0" borderId="0" xfId="0" applyFont="1"/>
    <xf numFmtId="0" fontId="4" fillId="0" borderId="4" xfId="0" applyFont="1" applyBorder="1"/>
    <xf numFmtId="0" fontId="4" fillId="0" borderId="5" xfId="0" applyFont="1" applyBorder="1"/>
    <xf numFmtId="0" fontId="7" fillId="0" borderId="4" xfId="0" applyFont="1" applyBorder="1"/>
    <xf numFmtId="3" fontId="7" fillId="0" borderId="5" xfId="0" applyNumberFormat="1" applyFont="1" applyBorder="1"/>
    <xf numFmtId="3" fontId="7" fillId="0" borderId="0" xfId="0" applyNumberFormat="1" applyFont="1"/>
    <xf numFmtId="9" fontId="7" fillId="0" borderId="4" xfId="0" applyNumberFormat="1" applyFont="1" applyBorder="1"/>
    <xf numFmtId="0" fontId="7" fillId="0" borderId="1" xfId="0" applyFont="1" applyBorder="1"/>
    <xf numFmtId="3" fontId="7" fillId="0" borderId="6" xfId="0" applyNumberFormat="1" applyFont="1" applyBorder="1"/>
    <xf numFmtId="3" fontId="7" fillId="0" borderId="1" xfId="0" applyNumberFormat="1" applyFont="1" applyBorder="1"/>
    <xf numFmtId="0" fontId="7" fillId="0" borderId="5" xfId="0" applyFont="1" applyBorder="1"/>
    <xf numFmtId="0" fontId="7" fillId="0" borderId="7" xfId="0" applyFont="1" applyBorder="1"/>
    <xf numFmtId="0" fontId="4" fillId="0" borderId="1" xfId="0" applyFont="1" applyBorder="1"/>
    <xf numFmtId="164" fontId="7" fillId="0" borderId="8" xfId="0" applyNumberFormat="1" applyFont="1" applyBorder="1"/>
    <xf numFmtId="0" fontId="4" fillId="0" borderId="9" xfId="0" applyFont="1" applyBorder="1"/>
    <xf numFmtId="3" fontId="7" fillId="0" borderId="9" xfId="0" applyNumberFormat="1" applyFont="1" applyBorder="1"/>
    <xf numFmtId="3" fontId="7" fillId="0" borderId="10" xfId="0" applyNumberFormat="1" applyFont="1" applyBorder="1"/>
    <xf numFmtId="3" fontId="17" fillId="0" borderId="10" xfId="0" applyNumberFormat="1" applyFont="1" applyBorder="1"/>
    <xf numFmtId="3" fontId="18" fillId="0" borderId="0" xfId="0" applyNumberFormat="1" applyFont="1"/>
    <xf numFmtId="3" fontId="0" fillId="0" borderId="0" xfId="0" applyNumberFormat="1"/>
    <xf numFmtId="0" fontId="7" fillId="0" borderId="11" xfId="0" applyFont="1" applyBorder="1"/>
    <xf numFmtId="9" fontId="7" fillId="0" borderId="0" xfId="0" applyNumberFormat="1" applyFont="1"/>
    <xf numFmtId="0" fontId="7" fillId="0" borderId="9" xfId="0" applyFont="1" applyBorder="1"/>
    <xf numFmtId="0" fontId="7" fillId="0" borderId="10" xfId="0" applyFont="1" applyBorder="1"/>
    <xf numFmtId="9" fontId="7" fillId="0" borderId="1" xfId="0" applyNumberFormat="1" applyFont="1" applyBorder="1"/>
    <xf numFmtId="0" fontId="19" fillId="0" borderId="0" xfId="0" applyFont="1"/>
    <xf numFmtId="0" fontId="22" fillId="2" borderId="12" xfId="0" applyFont="1" applyFill="1" applyBorder="1" applyAlignment="1">
      <alignment horizontal="center"/>
    </xf>
    <xf numFmtId="0" fontId="22" fillId="2" borderId="13" xfId="0" applyFont="1" applyFill="1" applyBorder="1" applyAlignment="1">
      <alignment horizontal="left" wrapText="1"/>
    </xf>
    <xf numFmtId="0" fontId="15" fillId="2" borderId="13" xfId="0" applyFont="1" applyFill="1" applyBorder="1" applyAlignment="1">
      <alignment horizontal="center"/>
    </xf>
    <xf numFmtId="0" fontId="22" fillId="2" borderId="13" xfId="0" applyFont="1" applyFill="1" applyBorder="1" applyAlignment="1">
      <alignment horizontal="center"/>
    </xf>
    <xf numFmtId="0" fontId="11" fillId="2" borderId="0" xfId="0" applyFont="1" applyFill="1"/>
    <xf numFmtId="3" fontId="11" fillId="2" borderId="0" xfId="0" applyNumberFormat="1" applyFont="1" applyFill="1"/>
    <xf numFmtId="9" fontId="11" fillId="2" borderId="0" xfId="0" applyNumberFormat="1" applyFont="1" applyFill="1"/>
    <xf numFmtId="0" fontId="7" fillId="2" borderId="0" xfId="0" applyFont="1" applyFill="1"/>
    <xf numFmtId="3" fontId="23" fillId="0" borderId="0" xfId="0" applyNumberFormat="1" applyFont="1"/>
    <xf numFmtId="0" fontId="23" fillId="0" borderId="0" xfId="0" applyFont="1"/>
    <xf numFmtId="0" fontId="11" fillId="2" borderId="14" xfId="0" applyFont="1" applyFill="1" applyBorder="1" applyAlignment="1">
      <alignment wrapText="1"/>
    </xf>
    <xf numFmtId="3" fontId="11" fillId="2" borderId="14" xfId="0" applyNumberFormat="1" applyFont="1" applyFill="1" applyBorder="1"/>
    <xf numFmtId="9" fontId="11" fillId="2" borderId="14" xfId="0" applyNumberFormat="1" applyFont="1" applyFill="1" applyBorder="1"/>
    <xf numFmtId="3" fontId="11" fillId="0" borderId="0" xfId="0" applyNumberFormat="1" applyFont="1"/>
    <xf numFmtId="0" fontId="9" fillId="2" borderId="15" xfId="0" applyFont="1" applyFill="1" applyBorder="1"/>
    <xf numFmtId="3" fontId="11" fillId="2" borderId="15" xfId="0" applyNumberFormat="1" applyFont="1" applyFill="1" applyBorder="1"/>
    <xf numFmtId="0" fontId="11" fillId="2" borderId="15" xfId="0" applyFont="1" applyFill="1" applyBorder="1"/>
    <xf numFmtId="0" fontId="22" fillId="2" borderId="0" xfId="0" applyFont="1" applyFill="1"/>
    <xf numFmtId="0" fontId="22" fillId="2" borderId="12" xfId="0" applyFont="1" applyFill="1" applyBorder="1"/>
    <xf numFmtId="0" fontId="11" fillId="2" borderId="12" xfId="0" applyFont="1" applyFill="1" applyBorder="1"/>
    <xf numFmtId="0" fontId="8" fillId="2" borderId="0" xfId="0" applyFont="1" applyFill="1"/>
    <xf numFmtId="0" fontId="24" fillId="0" borderId="0" xfId="0" applyFont="1"/>
    <xf numFmtId="0" fontId="25" fillId="0" borderId="0" xfId="0" applyFont="1"/>
    <xf numFmtId="0" fontId="10" fillId="2" borderId="0" xfId="0" applyFont="1" applyFill="1"/>
    <xf numFmtId="9" fontId="0" fillId="0" borderId="0" xfId="0" applyNumberFormat="1" applyAlignment="1">
      <alignment horizontal="center"/>
    </xf>
    <xf numFmtId="9" fontId="0" fillId="0" borderId="1" xfId="0" applyNumberFormat="1" applyBorder="1" applyAlignment="1">
      <alignment horizontal="center"/>
    </xf>
    <xf numFmtId="0" fontId="11" fillId="0" borderId="1" xfId="0" applyFont="1" applyBorder="1" applyAlignment="1">
      <alignment horizontal="center"/>
    </xf>
    <xf numFmtId="0" fontId="11" fillId="0" borderId="0" xfId="0" applyFont="1" applyAlignment="1">
      <alignment horizontal="center"/>
    </xf>
    <xf numFmtId="9" fontId="9" fillId="0" borderId="0" xfId="0" applyNumberFormat="1" applyFont="1" applyAlignment="1">
      <alignment horizontal="center"/>
    </xf>
    <xf numFmtId="0" fontId="7" fillId="0" borderId="0" xfId="0" applyFont="1" applyAlignment="1">
      <alignment horizontal="center"/>
    </xf>
    <xf numFmtId="0" fontId="4" fillId="0" borderId="16" xfId="0" applyFont="1" applyBorder="1"/>
    <xf numFmtId="3" fontId="7" fillId="0" borderId="16" xfId="0" applyNumberFormat="1" applyFont="1" applyBorder="1"/>
    <xf numFmtId="3" fontId="7" fillId="0" borderId="17" xfId="0" applyNumberFormat="1" applyFont="1" applyBorder="1"/>
    <xf numFmtId="3" fontId="7" fillId="0" borderId="4" xfId="0" applyNumberFormat="1" applyFont="1" applyBorder="1"/>
    <xf numFmtId="3" fontId="7" fillId="0" borderId="18" xfId="0" applyNumberFormat="1" applyFont="1" applyBorder="1"/>
    <xf numFmtId="0" fontId="7" fillId="0" borderId="16" xfId="0" applyFont="1" applyBorder="1"/>
    <xf numFmtId="0" fontId="7" fillId="0" borderId="6" xfId="0" applyFont="1" applyBorder="1"/>
    <xf numFmtId="3" fontId="7" fillId="0" borderId="19" xfId="0" applyNumberFormat="1" applyFont="1" applyBorder="1"/>
    <xf numFmtId="0" fontId="32" fillId="5" borderId="12" xfId="0" applyFont="1" applyFill="1" applyBorder="1" applyAlignment="1">
      <alignment horizontal="center"/>
    </xf>
    <xf numFmtId="0" fontId="15" fillId="2" borderId="13" xfId="0" applyFont="1" applyFill="1" applyBorder="1" applyAlignment="1">
      <alignment wrapText="1"/>
    </xf>
    <xf numFmtId="0" fontId="15" fillId="2" borderId="13" xfId="0" applyFont="1" applyFill="1" applyBorder="1"/>
    <xf numFmtId="9" fontId="7" fillId="2" borderId="0" xfId="0" applyNumberFormat="1" applyFont="1" applyFill="1"/>
    <xf numFmtId="3" fontId="7" fillId="2" borderId="0" xfId="0" applyNumberFormat="1" applyFont="1" applyFill="1"/>
    <xf numFmtId="0" fontId="7" fillId="2" borderId="14" xfId="0" applyFont="1" applyFill="1" applyBorder="1" applyAlignment="1">
      <alignment wrapText="1"/>
    </xf>
    <xf numFmtId="0" fontId="7" fillId="2" borderId="14" xfId="0" applyFont="1" applyFill="1" applyBorder="1"/>
    <xf numFmtId="9" fontId="7" fillId="2" borderId="14" xfId="0" applyNumberFormat="1" applyFont="1" applyFill="1" applyBorder="1"/>
    <xf numFmtId="0" fontId="4" fillId="2" borderId="15" xfId="0" applyFont="1" applyFill="1" applyBorder="1"/>
    <xf numFmtId="0" fontId="7" fillId="2" borderId="15" xfId="0" applyFont="1" applyFill="1" applyBorder="1"/>
    <xf numFmtId="0" fontId="15" fillId="2" borderId="0" xfId="0" applyFont="1" applyFill="1"/>
    <xf numFmtId="0" fontId="15" fillId="2" borderId="12" xfId="0" applyFont="1" applyFill="1" applyBorder="1"/>
    <xf numFmtId="0" fontId="7" fillId="2" borderId="12" xfId="0" applyFont="1" applyFill="1" applyBorder="1"/>
    <xf numFmtId="0" fontId="28" fillId="5" borderId="0" xfId="0" applyFont="1" applyFill="1"/>
    <xf numFmtId="0" fontId="0" fillId="5" borderId="0" xfId="0" applyFill="1"/>
    <xf numFmtId="9" fontId="0" fillId="5" borderId="0" xfId="0" applyNumberFormat="1" applyFill="1"/>
    <xf numFmtId="0" fontId="34" fillId="0" borderId="0" xfId="0" applyFont="1" applyAlignment="1">
      <alignment horizontal="center"/>
    </xf>
    <xf numFmtId="0" fontId="34" fillId="0" borderId="0" xfId="0" applyFont="1"/>
    <xf numFmtId="0" fontId="35" fillId="0" borderId="0" xfId="0" applyFont="1"/>
    <xf numFmtId="3" fontId="36" fillId="0" borderId="0" xfId="0" applyNumberFormat="1" applyFont="1" applyAlignment="1">
      <alignment horizontal="center"/>
    </xf>
    <xf numFmtId="9" fontId="36" fillId="0" borderId="0" xfId="0" applyNumberFormat="1" applyFont="1" applyAlignment="1">
      <alignment horizontal="center"/>
    </xf>
    <xf numFmtId="164" fontId="36" fillId="0" borderId="0" xfId="0" applyNumberFormat="1" applyFont="1" applyAlignment="1">
      <alignment horizontal="center"/>
    </xf>
    <xf numFmtId="0" fontId="36" fillId="0" borderId="0" xfId="0" applyFont="1" applyAlignment="1">
      <alignment horizontal="center"/>
    </xf>
    <xf numFmtId="3" fontId="36" fillId="0" borderId="1" xfId="0" applyNumberFormat="1" applyFont="1" applyBorder="1" applyAlignment="1">
      <alignment horizontal="center"/>
    </xf>
    <xf numFmtId="9" fontId="36" fillId="0" borderId="1" xfId="0" applyNumberFormat="1" applyFont="1" applyBorder="1" applyAlignment="1">
      <alignment horizontal="center"/>
    </xf>
    <xf numFmtId="0" fontId="36" fillId="0" borderId="0" xfId="0" applyFont="1"/>
    <xf numFmtId="0" fontId="36" fillId="6" borderId="0" xfId="0" applyFont="1" applyFill="1" applyAlignment="1">
      <alignment horizontal="center"/>
    </xf>
    <xf numFmtId="3" fontId="35" fillId="0" borderId="0" xfId="0" applyNumberFormat="1" applyFont="1" applyAlignment="1">
      <alignment horizontal="center"/>
    </xf>
    <xf numFmtId="9" fontId="35" fillId="0" borderId="0" xfId="0" applyNumberFormat="1" applyFont="1" applyAlignment="1">
      <alignment horizontal="center"/>
    </xf>
    <xf numFmtId="0" fontId="37" fillId="0" borderId="0" xfId="0" applyFont="1"/>
    <xf numFmtId="0" fontId="32" fillId="5" borderId="0" xfId="0" applyFont="1" applyFill="1" applyAlignment="1">
      <alignment horizontal="center"/>
    </xf>
    <xf numFmtId="0" fontId="32" fillId="0" borderId="0" xfId="0" applyFont="1" applyAlignment="1">
      <alignment horizontal="center"/>
    </xf>
    <xf numFmtId="0" fontId="3" fillId="0" borderId="5" xfId="0" applyFont="1" applyBorder="1" applyAlignment="1">
      <alignment horizontal="center"/>
    </xf>
    <xf numFmtId="3" fontId="0" fillId="0" borderId="5" xfId="0" applyNumberFormat="1" applyBorder="1"/>
    <xf numFmtId="9" fontId="0" fillId="0" borderId="5" xfId="0" applyNumberFormat="1" applyBorder="1"/>
    <xf numFmtId="0" fontId="0" fillId="0" borderId="5" xfId="0" applyBorder="1"/>
    <xf numFmtId="0" fontId="32" fillId="5" borderId="13" xfId="0" applyFont="1" applyFill="1" applyBorder="1" applyAlignment="1">
      <alignment horizontal="left" wrapText="1"/>
    </xf>
    <xf numFmtId="0" fontId="32" fillId="5" borderId="13" xfId="0" applyFont="1" applyFill="1" applyBorder="1" applyAlignment="1">
      <alignment horizontal="center"/>
    </xf>
    <xf numFmtId="9" fontId="32" fillId="5" borderId="13" xfId="0" applyNumberFormat="1" applyFont="1" applyFill="1" applyBorder="1" applyAlignment="1">
      <alignment horizontal="center"/>
    </xf>
    <xf numFmtId="0" fontId="0" fillId="5" borderId="0" xfId="0" applyFill="1" applyAlignment="1">
      <alignment wrapText="1"/>
    </xf>
    <xf numFmtId="3" fontId="0" fillId="5" borderId="0" xfId="0" applyNumberFormat="1" applyFill="1"/>
    <xf numFmtId="0" fontId="0" fillId="5" borderId="0" xfId="0" applyFill="1" applyAlignment="1">
      <alignment horizontal="center"/>
    </xf>
    <xf numFmtId="9" fontId="0" fillId="5" borderId="0" xfId="0" applyNumberFormat="1" applyFill="1" applyAlignment="1">
      <alignment horizontal="center"/>
    </xf>
    <xf numFmtId="0" fontId="0" fillId="5" borderId="12" xfId="0" applyFill="1" applyBorder="1"/>
    <xf numFmtId="9" fontId="0" fillId="5" borderId="15" xfId="0" applyNumberFormat="1" applyFill="1" applyBorder="1"/>
    <xf numFmtId="0" fontId="32" fillId="5" borderId="0" xfId="0" applyFont="1" applyFill="1"/>
    <xf numFmtId="0" fontId="32" fillId="5" borderId="12" xfId="0" applyFont="1" applyFill="1" applyBorder="1"/>
    <xf numFmtId="9" fontId="0" fillId="5" borderId="12" xfId="0" applyNumberFormat="1" applyFill="1" applyBorder="1"/>
    <xf numFmtId="3" fontId="32" fillId="5" borderId="0" xfId="0" applyNumberFormat="1" applyFont="1" applyFill="1"/>
    <xf numFmtId="3" fontId="3" fillId="0" borderId="0" xfId="0" applyNumberFormat="1" applyFont="1" applyAlignment="1">
      <alignment horizontal="center"/>
    </xf>
    <xf numFmtId="3" fontId="3" fillId="0" borderId="5" xfId="0" applyNumberFormat="1" applyFont="1" applyBorder="1"/>
    <xf numFmtId="0" fontId="3" fillId="0" borderId="1" xfId="0" applyFont="1" applyBorder="1"/>
    <xf numFmtId="0" fontId="31" fillId="0" borderId="0" xfId="0" applyFont="1"/>
    <xf numFmtId="0" fontId="32" fillId="5" borderId="0" xfId="0" applyFont="1" applyFill="1" applyAlignment="1">
      <alignment horizontal="left" wrapText="1"/>
    </xf>
    <xf numFmtId="9" fontId="32" fillId="5" borderId="0" xfId="0" applyNumberFormat="1" applyFont="1" applyFill="1" applyAlignment="1">
      <alignment horizontal="center"/>
    </xf>
    <xf numFmtId="3" fontId="0" fillId="5" borderId="0" xfId="0" applyNumberFormat="1" applyFill="1" applyAlignment="1">
      <alignment horizontal="right"/>
    </xf>
    <xf numFmtId="9" fontId="0" fillId="5" borderId="0" xfId="0" applyNumberFormat="1" applyFill="1" applyAlignment="1">
      <alignment horizontal="right"/>
    </xf>
    <xf numFmtId="3" fontId="0" fillId="5" borderId="12" xfId="0" applyNumberFormat="1" applyFill="1" applyBorder="1"/>
    <xf numFmtId="3" fontId="3" fillId="5" borderId="0" xfId="0" applyNumberFormat="1" applyFont="1" applyFill="1"/>
    <xf numFmtId="9" fontId="3" fillId="5" borderId="0" xfId="0" applyNumberFormat="1" applyFont="1" applyFill="1"/>
    <xf numFmtId="3" fontId="32" fillId="5" borderId="12" xfId="0" applyNumberFormat="1" applyFont="1" applyFill="1" applyBorder="1"/>
    <xf numFmtId="0" fontId="40" fillId="0" borderId="0" xfId="0" applyFont="1"/>
    <xf numFmtId="0" fontId="32" fillId="0" borderId="0" xfId="0" applyFont="1"/>
    <xf numFmtId="0" fontId="40" fillId="0" borderId="1" xfId="0" applyFont="1" applyBorder="1"/>
    <xf numFmtId="0" fontId="40" fillId="0" borderId="1" xfId="0" applyFont="1" applyBorder="1" applyAlignment="1">
      <alignment horizontal="center"/>
    </xf>
    <xf numFmtId="0" fontId="40" fillId="0" borderId="0" xfId="0" applyFont="1" applyAlignment="1">
      <alignment horizontal="center"/>
    </xf>
    <xf numFmtId="0" fontId="40" fillId="0" borderId="0" xfId="0" applyFont="1" applyAlignment="1">
      <alignment horizontal="left" indent="2"/>
    </xf>
    <xf numFmtId="3" fontId="40" fillId="0" borderId="0" xfId="0" applyNumberFormat="1" applyFont="1" applyAlignment="1">
      <alignment horizontal="center"/>
    </xf>
    <xf numFmtId="9" fontId="40" fillId="0" borderId="0" xfId="0" applyNumberFormat="1" applyFont="1" applyAlignment="1">
      <alignment horizontal="center"/>
    </xf>
    <xf numFmtId="3" fontId="40" fillId="0" borderId="1" xfId="0" applyNumberFormat="1" applyFont="1" applyBorder="1" applyAlignment="1">
      <alignment horizontal="center"/>
    </xf>
    <xf numFmtId="9" fontId="40" fillId="0" borderId="1" xfId="0" applyNumberFormat="1" applyFont="1" applyBorder="1" applyAlignment="1">
      <alignment horizontal="center"/>
    </xf>
    <xf numFmtId="3" fontId="32" fillId="0" borderId="0" xfId="0" applyNumberFormat="1" applyFont="1" applyAlignment="1">
      <alignment horizontal="center"/>
    </xf>
    <xf numFmtId="9" fontId="32" fillId="0" borderId="0" xfId="1" applyFont="1" applyAlignment="1">
      <alignment horizontal="center"/>
    </xf>
    <xf numFmtId="0" fontId="0" fillId="5" borderId="0" xfId="0" applyFill="1" applyAlignment="1">
      <alignment horizontal="right" wrapText="1"/>
    </xf>
    <xf numFmtId="9" fontId="0" fillId="0" borderId="0" xfId="0" applyNumberFormat="1"/>
    <xf numFmtId="0" fontId="32" fillId="0" borderId="5" xfId="0" applyFont="1" applyBorder="1" applyAlignment="1">
      <alignment horizontal="center"/>
    </xf>
    <xf numFmtId="3" fontId="40" fillId="0" borderId="5" xfId="0" applyNumberFormat="1" applyFont="1" applyBorder="1"/>
    <xf numFmtId="9" fontId="40" fillId="0" borderId="5" xfId="0" applyNumberFormat="1" applyFont="1" applyBorder="1"/>
    <xf numFmtId="9" fontId="40" fillId="0" borderId="0" xfId="0" applyNumberFormat="1" applyFont="1"/>
    <xf numFmtId="0" fontId="40" fillId="0" borderId="5" xfId="0" applyFont="1" applyBorder="1"/>
    <xf numFmtId="0" fontId="40" fillId="0" borderId="0" xfId="0" applyFont="1" applyAlignment="1">
      <alignment horizontal="left"/>
    </xf>
    <xf numFmtId="0" fontId="40" fillId="0" borderId="1" xfId="0" applyFont="1" applyBorder="1" applyAlignment="1">
      <alignment horizontal="left" indent="1"/>
    </xf>
    <xf numFmtId="0" fontId="40" fillId="0" borderId="12" xfId="0" applyFont="1" applyBorder="1" applyAlignment="1">
      <alignment horizontal="left" indent="1"/>
    </xf>
    <xf numFmtId="3" fontId="40" fillId="0" borderId="12" xfId="0" applyNumberFormat="1" applyFont="1" applyBorder="1" applyAlignment="1">
      <alignment horizontal="center"/>
    </xf>
    <xf numFmtId="9" fontId="32" fillId="0" borderId="12" xfId="0" applyNumberFormat="1" applyFont="1" applyBorder="1" applyAlignment="1">
      <alignment horizontal="center"/>
    </xf>
    <xf numFmtId="0" fontId="40" fillId="0" borderId="12" xfId="0" applyFont="1" applyBorder="1" applyAlignment="1">
      <alignment horizontal="left"/>
    </xf>
    <xf numFmtId="9" fontId="32" fillId="0" borderId="0" xfId="0" applyNumberFormat="1" applyFont="1" applyAlignment="1">
      <alignment horizontal="center"/>
    </xf>
    <xf numFmtId="0" fontId="32" fillId="0" borderId="1" xfId="0" applyFont="1" applyBorder="1" applyAlignment="1">
      <alignment horizontal="center"/>
    </xf>
    <xf numFmtId="0" fontId="32" fillId="5" borderId="21" xfId="0" applyFont="1" applyFill="1" applyBorder="1" applyAlignment="1">
      <alignment horizontal="left" wrapText="1"/>
    </xf>
    <xf numFmtId="0" fontId="32" fillId="5" borderId="21" xfId="0" applyFont="1" applyFill="1" applyBorder="1" applyAlignment="1">
      <alignment horizontal="center"/>
    </xf>
    <xf numFmtId="9" fontId="32" fillId="5" borderId="21" xfId="0" applyNumberFormat="1" applyFont="1" applyFill="1" applyBorder="1" applyAlignment="1">
      <alignment horizontal="center"/>
    </xf>
    <xf numFmtId="0" fontId="40" fillId="5" borderId="0" xfId="0" applyFont="1" applyFill="1" applyAlignment="1">
      <alignment wrapText="1"/>
    </xf>
    <xf numFmtId="3" fontId="40" fillId="5" borderId="0" xfId="0" applyNumberFormat="1" applyFont="1" applyFill="1"/>
    <xf numFmtId="9" fontId="40" fillId="5" borderId="0" xfId="0" applyNumberFormat="1" applyFont="1" applyFill="1"/>
    <xf numFmtId="0" fontId="40" fillId="5" borderId="0" xfId="0" applyFont="1" applyFill="1"/>
    <xf numFmtId="0" fontId="40" fillId="5" borderId="12" xfId="0" applyFont="1" applyFill="1" applyBorder="1"/>
    <xf numFmtId="3" fontId="40" fillId="5" borderId="12" xfId="0" applyNumberFormat="1" applyFont="1" applyFill="1" applyBorder="1"/>
    <xf numFmtId="9" fontId="40" fillId="5" borderId="12" xfId="0" applyNumberFormat="1" applyFont="1" applyFill="1" applyBorder="1"/>
    <xf numFmtId="9" fontId="32" fillId="5" borderId="0" xfId="0" applyNumberFormat="1" applyFont="1" applyFill="1"/>
    <xf numFmtId="0" fontId="2" fillId="0" borderId="0" xfId="0" applyFont="1" applyAlignment="1">
      <alignment horizontal="center"/>
    </xf>
    <xf numFmtId="0" fontId="3" fillId="0" borderId="0" xfId="0" applyFont="1" applyAlignment="1">
      <alignment horizontal="center"/>
    </xf>
    <xf numFmtId="0" fontId="8" fillId="2" borderId="0" xfId="0" applyFont="1" applyFill="1" applyAlignment="1">
      <alignment wrapText="1"/>
    </xf>
    <xf numFmtId="0" fontId="15" fillId="0" borderId="0" xfId="0" applyFont="1" applyAlignment="1">
      <alignment horizontal="center"/>
    </xf>
    <xf numFmtId="0" fontId="21" fillId="2" borderId="0" xfId="0" applyFont="1" applyFill="1" applyAlignment="1">
      <alignment horizontal="center" vertical="center" wrapText="1"/>
    </xf>
    <xf numFmtId="0" fontId="22" fillId="2" borderId="0" xfId="0" applyFont="1" applyFill="1" applyAlignment="1">
      <alignment horizontal="center"/>
    </xf>
    <xf numFmtId="0" fontId="10" fillId="2" borderId="0" xfId="0" applyFont="1" applyFill="1" applyAlignment="1">
      <alignment wrapText="1"/>
    </xf>
    <xf numFmtId="0" fontId="8" fillId="0" borderId="0" xfId="0" applyFont="1" applyAlignment="1">
      <alignment wrapText="1"/>
    </xf>
    <xf numFmtId="0" fontId="20" fillId="0" borderId="0" xfId="0" applyFont="1" applyAlignment="1">
      <alignment wrapText="1"/>
    </xf>
    <xf numFmtId="0" fontId="31" fillId="0" borderId="0" xfId="0" applyFont="1" applyAlignment="1">
      <alignment horizontal="left" wrapText="1"/>
    </xf>
    <xf numFmtId="0" fontId="38" fillId="0" borderId="0" xfId="0" applyFont="1" applyAlignment="1">
      <alignment horizontal="center"/>
    </xf>
    <xf numFmtId="0" fontId="32" fillId="0" borderId="0" xfId="0" applyFont="1" applyAlignment="1">
      <alignment horizontal="center"/>
    </xf>
    <xf numFmtId="0" fontId="0" fillId="0" borderId="0" xfId="0" applyAlignment="1">
      <alignment wrapText="1"/>
    </xf>
    <xf numFmtId="0" fontId="2" fillId="5" borderId="0" xfId="0" applyFont="1" applyFill="1" applyAlignment="1">
      <alignment horizontal="center" vertical="center" wrapText="1"/>
    </xf>
    <xf numFmtId="0" fontId="2" fillId="5" borderId="0" xfId="0" applyFont="1" applyFill="1" applyAlignment="1">
      <alignment horizontal="center" vertical="center"/>
    </xf>
    <xf numFmtId="0" fontId="32" fillId="5" borderId="0" xfId="0" applyFont="1" applyFill="1" applyAlignment="1">
      <alignment horizontal="center"/>
    </xf>
    <xf numFmtId="0" fontId="33" fillId="0" borderId="0" xfId="0" applyFont="1" applyAlignment="1">
      <alignment horizontal="center"/>
    </xf>
    <xf numFmtId="0" fontId="34" fillId="0" borderId="0" xfId="0" applyFont="1" applyAlignment="1">
      <alignment horizontal="center"/>
    </xf>
    <xf numFmtId="0" fontId="37" fillId="2" borderId="0" xfId="0" applyFont="1" applyFill="1" applyAlignment="1">
      <alignment wrapText="1"/>
    </xf>
    <xf numFmtId="0" fontId="37" fillId="0" borderId="0" xfId="0" applyFont="1" applyAlignment="1">
      <alignment wrapText="1"/>
    </xf>
    <xf numFmtId="0" fontId="19" fillId="0" borderId="20" xfId="0" applyFont="1" applyBorder="1" applyAlignment="1">
      <alignment wrapText="1"/>
    </xf>
    <xf numFmtId="0" fontId="15" fillId="2" borderId="0" xfId="0" applyFont="1" applyFill="1" applyAlignment="1">
      <alignment horizontal="center" vertical="center"/>
    </xf>
    <xf numFmtId="0" fontId="0" fillId="5" borderId="0" xfId="0" applyFill="1" applyAlignment="1">
      <alignment horizontal="left" wrapText="1"/>
    </xf>
    <xf numFmtId="0" fontId="38" fillId="5" borderId="0" xfId="0" applyFont="1" applyFill="1" applyAlignment="1">
      <alignment horizontal="center" wrapText="1"/>
    </xf>
    <xf numFmtId="0" fontId="40" fillId="5" borderId="0" xfId="0" applyFont="1" applyFill="1" applyAlignment="1">
      <alignment horizontal="left" wrapText="1"/>
    </xf>
    <xf numFmtId="0" fontId="43" fillId="0" borderId="0" xfId="0" applyFont="1" applyAlignment="1">
      <alignment horizontal="left" vertical="center" wrapText="1"/>
    </xf>
    <xf numFmtId="0" fontId="45" fillId="0" borderId="0" xfId="0" applyFont="1"/>
    <xf numFmtId="0" fontId="46" fillId="0" borderId="0" xfId="0" applyFont="1"/>
    <xf numFmtId="0" fontId="47" fillId="0" borderId="0" xfId="0" applyFont="1"/>
    <xf numFmtId="0" fontId="0" fillId="0" borderId="0" xfId="0" applyAlignment="1"/>
    <xf numFmtId="0" fontId="12" fillId="0" borderId="0" xfId="0" applyFont="1" applyAlignment="1"/>
    <xf numFmtId="0" fontId="8" fillId="2" borderId="0" xfId="0" applyFont="1" applyFill="1" applyAlignment="1"/>
  </cellXfs>
  <cellStyles count="2">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IT\UL\RLS\RLS-Shares\RLS%20Admin%20Assistant\Annual%20Report%20Tables\2016-17\Annual%20Report%20Tables_AY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5-Circulation Rates "/>
    </sheetNames>
    <sheetDataSet>
      <sheetData sheetId="0"/>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6"/>
  <sheetViews>
    <sheetView topLeftCell="H1" workbookViewId="0">
      <selection activeCell="M10" sqref="M10"/>
    </sheetView>
  </sheetViews>
  <sheetFormatPr defaultRowHeight="15"/>
  <cols>
    <col min="1" max="1" width="17.28515625" customWidth="1"/>
    <col min="9" max="9" width="63.28515625" bestFit="1" customWidth="1"/>
    <col min="12" max="12" width="9.7109375" bestFit="1" customWidth="1"/>
    <col min="16" max="16" width="99" bestFit="1" customWidth="1"/>
  </cols>
  <sheetData>
    <row r="1" spans="1:19" ht="21">
      <c r="A1" s="197" t="s">
        <v>0</v>
      </c>
      <c r="B1" s="197"/>
      <c r="C1" s="197"/>
      <c r="D1" s="197"/>
      <c r="E1" s="197"/>
      <c r="I1" s="200" t="s">
        <v>1</v>
      </c>
      <c r="J1" s="200"/>
      <c r="K1" s="200"/>
      <c r="L1" s="200"/>
      <c r="P1" s="201" t="s">
        <v>2</v>
      </c>
      <c r="Q1" s="201"/>
      <c r="R1" s="201"/>
      <c r="S1" s="201"/>
    </row>
    <row r="2" spans="1:19" ht="15.75">
      <c r="A2" s="198" t="s">
        <v>3</v>
      </c>
      <c r="B2" s="198"/>
      <c r="C2" s="198"/>
      <c r="D2" s="198"/>
      <c r="E2" s="198"/>
      <c r="I2" s="200" t="s">
        <v>4</v>
      </c>
      <c r="J2" s="200"/>
      <c r="K2" s="200"/>
      <c r="L2" s="200"/>
      <c r="P2" s="202" t="s">
        <v>5</v>
      </c>
      <c r="Q2" s="202"/>
      <c r="R2" s="202"/>
      <c r="S2" s="202"/>
    </row>
    <row r="3" spans="1:19" ht="15.75">
      <c r="A3" s="2"/>
      <c r="B3" s="2"/>
      <c r="C3" s="2"/>
      <c r="D3" s="2"/>
      <c r="E3" s="2"/>
      <c r="I3" s="13"/>
      <c r="J3" s="13"/>
      <c r="K3" s="13"/>
      <c r="L3" s="13"/>
      <c r="P3" s="202" t="s">
        <v>6</v>
      </c>
      <c r="Q3" s="202"/>
      <c r="R3" s="202"/>
      <c r="S3" s="202"/>
    </row>
    <row r="4" spans="1:19" ht="15.75">
      <c r="I4" s="13" t="s">
        <v>7</v>
      </c>
      <c r="J4" s="34" t="s">
        <v>8</v>
      </c>
      <c r="K4" s="34" t="s">
        <v>9</v>
      </c>
      <c r="L4" s="35" t="s">
        <v>10</v>
      </c>
      <c r="P4" s="60"/>
      <c r="Q4" s="60"/>
      <c r="R4" s="60"/>
      <c r="S4" s="60"/>
    </row>
    <row r="5" spans="1:19" ht="16.5">
      <c r="A5" s="3" t="s">
        <v>11</v>
      </c>
      <c r="B5" s="1" t="s">
        <v>12</v>
      </c>
      <c r="C5" s="1" t="s">
        <v>13</v>
      </c>
      <c r="D5" s="1" t="s">
        <v>12</v>
      </c>
      <c r="E5" s="1" t="s">
        <v>13</v>
      </c>
      <c r="I5" s="13"/>
      <c r="J5" s="36" t="s">
        <v>14</v>
      </c>
      <c r="K5" s="34" t="s">
        <v>14</v>
      </c>
      <c r="L5" s="37"/>
      <c r="P5" s="61" t="s">
        <v>15</v>
      </c>
      <c r="Q5" s="62" t="s">
        <v>16</v>
      </c>
      <c r="R5" s="62" t="s">
        <v>17</v>
      </c>
      <c r="S5" s="63" t="s">
        <v>10</v>
      </c>
    </row>
    <row r="6" spans="1:19">
      <c r="A6" s="3"/>
      <c r="B6" s="4" t="s">
        <v>18</v>
      </c>
      <c r="C6" s="1" t="s">
        <v>19</v>
      </c>
      <c r="D6" s="1" t="s">
        <v>20</v>
      </c>
      <c r="E6" s="1" t="s">
        <v>19</v>
      </c>
      <c r="I6" s="34" t="s">
        <v>21</v>
      </c>
      <c r="J6" s="38">
        <v>60726</v>
      </c>
      <c r="K6" s="39">
        <v>64090</v>
      </c>
      <c r="L6" s="40">
        <v>0.06</v>
      </c>
      <c r="P6" s="64" t="s">
        <v>22</v>
      </c>
      <c r="Q6" s="65">
        <v>209</v>
      </c>
      <c r="R6" s="65">
        <v>192</v>
      </c>
      <c r="S6" s="66">
        <f t="shared" ref="S6:S29" si="0">(R6-Q6)/Q6</f>
        <v>-8.1339712918660281E-2</v>
      </c>
    </row>
    <row r="7" spans="1:19">
      <c r="A7" s="2"/>
      <c r="B7" s="5"/>
      <c r="C7" s="5"/>
      <c r="D7" s="5"/>
      <c r="E7" s="5"/>
      <c r="I7" s="13" t="s">
        <v>23</v>
      </c>
      <c r="J7" s="38">
        <v>46103</v>
      </c>
      <c r="K7" s="39">
        <v>44715</v>
      </c>
      <c r="L7" s="40">
        <v>-0.03</v>
      </c>
      <c r="P7" s="67" t="s">
        <v>24</v>
      </c>
      <c r="Q7" s="68">
        <v>3533</v>
      </c>
      <c r="R7" s="68">
        <v>1333</v>
      </c>
      <c r="S7" s="66">
        <f t="shared" si="0"/>
        <v>-0.62270025474101331</v>
      </c>
    </row>
    <row r="8" spans="1:19">
      <c r="B8" s="6"/>
      <c r="C8" s="6"/>
      <c r="D8" s="6"/>
      <c r="E8" s="6"/>
      <c r="I8" s="13" t="s">
        <v>25</v>
      </c>
      <c r="J8" s="38">
        <v>3394</v>
      </c>
      <c r="K8" s="39">
        <v>1493</v>
      </c>
      <c r="L8" s="40">
        <v>-0.56000000000000005</v>
      </c>
      <c r="P8" s="67" t="s">
        <v>26</v>
      </c>
      <c r="Q8" s="68">
        <v>1712</v>
      </c>
      <c r="R8" s="68">
        <v>1300</v>
      </c>
      <c r="S8" s="66">
        <f t="shared" si="0"/>
        <v>-0.24065420560747663</v>
      </c>
    </row>
    <row r="9" spans="1:19">
      <c r="A9" s="7" t="s">
        <v>27</v>
      </c>
      <c r="B9" s="8">
        <v>7360</v>
      </c>
      <c r="C9" s="9">
        <v>9.4083806266034367E-2</v>
      </c>
      <c r="D9" s="8"/>
      <c r="E9" s="9"/>
      <c r="I9" s="13" t="s">
        <v>28</v>
      </c>
      <c r="J9" s="38">
        <v>8371</v>
      </c>
      <c r="K9" s="39">
        <v>14616</v>
      </c>
      <c r="L9" s="40">
        <v>0.75</v>
      </c>
      <c r="P9" s="67" t="s">
        <v>29</v>
      </c>
      <c r="Q9" s="65">
        <v>337</v>
      </c>
      <c r="R9" s="65">
        <v>271</v>
      </c>
      <c r="S9" s="66"/>
    </row>
    <row r="10" spans="1:19">
      <c r="B10" s="6"/>
      <c r="C10" s="9"/>
      <c r="D10" s="6"/>
      <c r="E10" s="9"/>
      <c r="I10" s="41" t="s">
        <v>30</v>
      </c>
      <c r="J10" s="42">
        <v>2858</v>
      </c>
      <c r="K10" s="43">
        <v>3266</v>
      </c>
      <c r="L10" s="40">
        <v>0.14000000000000001</v>
      </c>
      <c r="P10" s="64" t="s">
        <v>31</v>
      </c>
      <c r="Q10" s="65">
        <v>80</v>
      </c>
      <c r="R10" s="65">
        <v>113</v>
      </c>
      <c r="S10" s="66">
        <f t="shared" si="0"/>
        <v>0.41249999999999998</v>
      </c>
    </row>
    <row r="11" spans="1:19">
      <c r="A11" s="7" t="s">
        <v>32</v>
      </c>
      <c r="B11" s="8">
        <v>6325</v>
      </c>
      <c r="C11" s="9">
        <v>9.1564953743294722E-2</v>
      </c>
      <c r="D11" s="8"/>
      <c r="E11" s="9"/>
      <c r="I11" s="13"/>
      <c r="J11" s="44" t="s">
        <v>14</v>
      </c>
      <c r="K11" s="13" t="s">
        <v>14</v>
      </c>
      <c r="L11" s="45"/>
      <c r="P11" s="64" t="s">
        <v>33</v>
      </c>
      <c r="Q11" s="65">
        <v>33279</v>
      </c>
      <c r="R11" s="65">
        <v>33756</v>
      </c>
      <c r="S11" s="66">
        <f t="shared" si="0"/>
        <v>1.4333363382313171E-2</v>
      </c>
    </row>
    <row r="12" spans="1:19">
      <c r="B12" s="6"/>
      <c r="C12" s="9"/>
      <c r="D12" s="6"/>
      <c r="E12" s="9"/>
      <c r="I12" s="46" t="s">
        <v>34</v>
      </c>
      <c r="J12" s="43">
        <v>41333</v>
      </c>
      <c r="K12" s="43">
        <f>K7+K8-6939</f>
        <v>39269</v>
      </c>
      <c r="L12" s="47">
        <f>(K12-J12)/J12</f>
        <v>-4.9935886579730485E-2</v>
      </c>
      <c r="P12" s="64" t="s">
        <v>35</v>
      </c>
      <c r="Q12" s="65">
        <v>57</v>
      </c>
      <c r="R12" s="65">
        <v>69</v>
      </c>
      <c r="S12" s="66">
        <f t="shared" si="0"/>
        <v>0.21052631578947367</v>
      </c>
    </row>
    <row r="13" spans="1:19">
      <c r="A13" s="7" t="s">
        <v>36</v>
      </c>
      <c r="B13" s="8">
        <v>6869</v>
      </c>
      <c r="C13" s="9">
        <v>0.13665552359480682</v>
      </c>
      <c r="D13" s="8"/>
      <c r="E13" s="9"/>
      <c r="I13" s="13"/>
      <c r="J13" s="36" t="s">
        <v>14</v>
      </c>
      <c r="K13" s="34" t="s">
        <v>14</v>
      </c>
      <c r="L13" s="37"/>
      <c r="P13" s="64" t="s">
        <v>37</v>
      </c>
      <c r="Q13" s="69">
        <v>2222</v>
      </c>
      <c r="R13" s="69">
        <v>1778</v>
      </c>
      <c r="S13" s="66">
        <f t="shared" si="0"/>
        <v>-0.19981998199819981</v>
      </c>
    </row>
    <row r="14" spans="1:19">
      <c r="B14" s="6"/>
      <c r="C14" s="9"/>
      <c r="D14" s="6"/>
      <c r="E14" s="9"/>
      <c r="I14" s="34" t="s">
        <v>38</v>
      </c>
      <c r="J14" s="48" t="s">
        <v>39</v>
      </c>
      <c r="K14" s="48" t="s">
        <v>40</v>
      </c>
      <c r="L14" s="35" t="s">
        <v>10</v>
      </c>
      <c r="P14" s="64" t="s">
        <v>41</v>
      </c>
      <c r="Q14" s="65">
        <v>2869</v>
      </c>
      <c r="R14" s="65">
        <v>2940</v>
      </c>
      <c r="S14" s="66">
        <f t="shared" si="0"/>
        <v>2.4747298710352039E-2</v>
      </c>
    </row>
    <row r="15" spans="1:19">
      <c r="A15" s="7" t="s">
        <v>42</v>
      </c>
      <c r="B15" s="8">
        <v>10979</v>
      </c>
      <c r="C15" s="9">
        <v>0.21033973412112261</v>
      </c>
      <c r="D15" s="8"/>
      <c r="E15" s="9"/>
      <c r="I15" s="13" t="s">
        <v>43</v>
      </c>
      <c r="J15" s="49">
        <v>1400</v>
      </c>
      <c r="K15" s="49">
        <v>1594</v>
      </c>
      <c r="L15" s="40">
        <f t="shared" ref="L15" si="1">(K15-J15)/J15</f>
        <v>0.13857142857142857</v>
      </c>
      <c r="P15" s="64" t="s">
        <v>44</v>
      </c>
      <c r="Q15" s="65">
        <v>19</v>
      </c>
      <c r="R15" s="65">
        <v>9</v>
      </c>
      <c r="S15" s="66">
        <f t="shared" si="0"/>
        <v>-0.52631578947368418</v>
      </c>
    </row>
    <row r="16" spans="1:19">
      <c r="B16" s="8"/>
      <c r="C16" s="9"/>
      <c r="D16" s="8"/>
      <c r="E16" s="9"/>
      <c r="I16" s="13" t="s">
        <v>45</v>
      </c>
      <c r="J16" s="49">
        <v>22393</v>
      </c>
      <c r="K16" s="49">
        <v>51021</v>
      </c>
      <c r="L16" s="40"/>
      <c r="P16" s="64" t="s">
        <v>46</v>
      </c>
      <c r="Q16" s="65">
        <v>2801</v>
      </c>
      <c r="R16" s="65">
        <v>3266</v>
      </c>
      <c r="S16" s="66">
        <f t="shared" si="0"/>
        <v>0.16601213852195645</v>
      </c>
    </row>
    <row r="17" spans="1:19">
      <c r="A17" s="2" t="s">
        <v>47</v>
      </c>
      <c r="B17" s="10">
        <v>31533</v>
      </c>
      <c r="C17" s="11">
        <v>0.53264401772525849</v>
      </c>
      <c r="D17" s="10">
        <v>35383</v>
      </c>
      <c r="E17" s="11">
        <f>D17/D34</f>
        <v>0.55335220430696086</v>
      </c>
      <c r="I17" s="13" t="s">
        <v>48</v>
      </c>
      <c r="J17" s="49">
        <v>16583</v>
      </c>
      <c r="K17" s="49">
        <v>33260</v>
      </c>
      <c r="L17" s="40"/>
      <c r="P17" s="64" t="s">
        <v>49</v>
      </c>
      <c r="Q17" s="65">
        <v>33</v>
      </c>
      <c r="R17" s="65">
        <v>18</v>
      </c>
      <c r="S17" s="66">
        <f t="shared" si="0"/>
        <v>-0.45454545454545453</v>
      </c>
    </row>
    <row r="18" spans="1:19">
      <c r="B18" s="6"/>
      <c r="C18" s="9"/>
      <c r="D18" s="8"/>
      <c r="E18" s="9"/>
      <c r="I18" s="13" t="s">
        <v>25</v>
      </c>
      <c r="J18" s="49">
        <v>1653</v>
      </c>
      <c r="K18" s="49">
        <v>1237</v>
      </c>
      <c r="L18" s="40"/>
      <c r="P18" s="64" t="s">
        <v>50</v>
      </c>
      <c r="Q18" s="65">
        <v>54</v>
      </c>
      <c r="R18" s="65">
        <v>93</v>
      </c>
      <c r="S18" s="66">
        <f t="shared" si="0"/>
        <v>0.72222222222222221</v>
      </c>
    </row>
    <row r="19" spans="1:19">
      <c r="A19" s="7" t="s">
        <v>51</v>
      </c>
      <c r="B19" s="8">
        <v>4758</v>
      </c>
      <c r="C19" s="9">
        <v>9.6524916426961052E-2</v>
      </c>
      <c r="D19" s="8">
        <v>4424</v>
      </c>
      <c r="E19" s="9">
        <f>D19/D34</f>
        <v>6.9186619332843313E-2</v>
      </c>
      <c r="I19" s="13" t="s">
        <v>28</v>
      </c>
      <c r="J19" s="49">
        <v>2867</v>
      </c>
      <c r="K19" s="49">
        <v>13476</v>
      </c>
      <c r="L19" s="40"/>
      <c r="P19" s="64" t="s">
        <v>52</v>
      </c>
      <c r="Q19" s="65">
        <v>802</v>
      </c>
      <c r="R19" s="65">
        <v>680</v>
      </c>
      <c r="S19" s="66">
        <f t="shared" si="0"/>
        <v>-0.15211970074812967</v>
      </c>
    </row>
    <row r="20" spans="1:19">
      <c r="B20" s="6"/>
      <c r="C20" s="9"/>
      <c r="D20" s="6"/>
      <c r="E20" s="9"/>
      <c r="I20" s="13" t="s">
        <v>30</v>
      </c>
      <c r="J20" s="49">
        <v>1290</v>
      </c>
      <c r="K20" s="49">
        <v>3048</v>
      </c>
      <c r="L20" s="40"/>
      <c r="P20" s="64" t="s">
        <v>53</v>
      </c>
      <c r="Q20" s="65">
        <v>928</v>
      </c>
      <c r="R20" s="65">
        <v>1941</v>
      </c>
      <c r="S20" s="66">
        <f t="shared" si="0"/>
        <v>1.0915948275862069</v>
      </c>
    </row>
    <row r="21" spans="1:19">
      <c r="A21" s="7" t="s">
        <v>54</v>
      </c>
      <c r="B21" s="8">
        <v>826</v>
      </c>
      <c r="C21" s="9">
        <v>1.7880743216978932E-2</v>
      </c>
      <c r="D21" s="8">
        <v>822</v>
      </c>
      <c r="E21" s="9">
        <f>D21/D34</f>
        <v>1.2855199161753436E-2</v>
      </c>
      <c r="I21" s="13"/>
      <c r="J21" s="44" t="s">
        <v>14</v>
      </c>
      <c r="K21" s="13" t="s">
        <v>14</v>
      </c>
      <c r="L21" s="37"/>
      <c r="P21" s="64" t="s">
        <v>55</v>
      </c>
      <c r="Q21" s="65">
        <v>1170</v>
      </c>
      <c r="R21" s="65">
        <v>802</v>
      </c>
      <c r="S21" s="66">
        <f t="shared" si="0"/>
        <v>-0.31452991452991452</v>
      </c>
    </row>
    <row r="22" spans="1:19">
      <c r="B22" s="6"/>
      <c r="C22" s="9"/>
      <c r="D22" s="6"/>
      <c r="E22" s="9"/>
      <c r="I22" s="34" t="s">
        <v>56</v>
      </c>
      <c r="J22" s="36" t="s">
        <v>57</v>
      </c>
      <c r="K22" s="34"/>
      <c r="L22" s="35" t="s">
        <v>10</v>
      </c>
      <c r="P22" s="67" t="s">
        <v>58</v>
      </c>
      <c r="Q22" s="65">
        <v>7544</v>
      </c>
      <c r="R22" s="65">
        <v>12601</v>
      </c>
      <c r="S22" s="66">
        <f t="shared" si="0"/>
        <v>0.67033404029692467</v>
      </c>
    </row>
    <row r="23" spans="1:19">
      <c r="A23" s="2" t="s">
        <v>59</v>
      </c>
      <c r="B23" s="12">
        <v>5584</v>
      </c>
      <c r="C23" s="11">
        <v>0.11440565964393998</v>
      </c>
      <c r="D23" s="10">
        <v>5246</v>
      </c>
      <c r="E23" s="11">
        <f>D23/D34</f>
        <v>8.2041818494596755E-2</v>
      </c>
      <c r="I23" s="13" t="s">
        <v>43</v>
      </c>
      <c r="J23" s="50">
        <v>1428</v>
      </c>
      <c r="K23" s="39"/>
      <c r="L23" s="40"/>
      <c r="P23" s="64" t="s">
        <v>60</v>
      </c>
      <c r="Q23" s="65">
        <v>88</v>
      </c>
      <c r="R23" s="65">
        <v>82</v>
      </c>
      <c r="S23" s="66">
        <f t="shared" si="0"/>
        <v>-6.8181818181818177E-2</v>
      </c>
    </row>
    <row r="24" spans="1:19">
      <c r="B24" s="6"/>
      <c r="C24" s="9"/>
      <c r="D24" s="6"/>
      <c r="E24" s="9"/>
      <c r="I24" s="13" t="s">
        <v>45</v>
      </c>
      <c r="J24" s="50">
        <v>22843</v>
      </c>
      <c r="K24" s="39"/>
      <c r="L24" s="40"/>
      <c r="P24" s="67" t="s">
        <v>61</v>
      </c>
      <c r="Q24" s="65">
        <v>13</v>
      </c>
      <c r="R24" s="65">
        <v>12</v>
      </c>
      <c r="S24" s="66">
        <f t="shared" si="0"/>
        <v>-7.6923076923076927E-2</v>
      </c>
    </row>
    <row r="25" spans="1:19">
      <c r="A25" s="2" t="s">
        <v>62</v>
      </c>
      <c r="B25" s="10">
        <v>37117</v>
      </c>
      <c r="C25" s="11">
        <v>0.64704967736919849</v>
      </c>
      <c r="D25" s="10">
        <v>40629</v>
      </c>
      <c r="E25" s="11">
        <f>D25/D34</f>
        <v>0.63539402280155766</v>
      </c>
      <c r="I25" s="13" t="s">
        <v>48</v>
      </c>
      <c r="J25" s="51">
        <v>16847</v>
      </c>
      <c r="K25" s="52"/>
      <c r="L25" s="40"/>
      <c r="P25" s="64" t="s">
        <v>63</v>
      </c>
      <c r="Q25" s="65">
        <v>41</v>
      </c>
      <c r="R25" s="65">
        <v>26</v>
      </c>
      <c r="S25" s="66">
        <f t="shared" si="0"/>
        <v>-0.36585365853658536</v>
      </c>
    </row>
    <row r="26" spans="1:19">
      <c r="B26" s="6"/>
      <c r="C26" s="9"/>
      <c r="D26" s="6"/>
      <c r="E26" s="9"/>
      <c r="I26" s="13" t="s">
        <v>25</v>
      </c>
      <c r="J26" s="51">
        <v>1360</v>
      </c>
      <c r="K26" s="52"/>
      <c r="L26" s="40"/>
      <c r="P26" s="67" t="s">
        <v>64</v>
      </c>
      <c r="Q26" s="65">
        <v>47</v>
      </c>
      <c r="R26" s="65">
        <v>65</v>
      </c>
      <c r="S26" s="66">
        <f>(R26-Q26)/Q26</f>
        <v>0.38297872340425532</v>
      </c>
    </row>
    <row r="27" spans="1:19" ht="60.75" customHeight="1">
      <c r="A27" s="7" t="s">
        <v>65</v>
      </c>
      <c r="B27" s="8">
        <v>11118</v>
      </c>
      <c r="C27" s="9">
        <v>0.16330560522428672</v>
      </c>
      <c r="D27" s="8">
        <v>13127</v>
      </c>
      <c r="E27" s="9">
        <f>D27/D34</f>
        <v>0.20529221337753936</v>
      </c>
      <c r="I27" s="13" t="s">
        <v>28</v>
      </c>
      <c r="J27" s="50">
        <v>3611</v>
      </c>
      <c r="K27" s="53"/>
      <c r="L27" s="40"/>
      <c r="P27" s="70" t="s">
        <v>66</v>
      </c>
      <c r="Q27" s="71">
        <v>615</v>
      </c>
      <c r="R27" s="71">
        <v>639</v>
      </c>
      <c r="S27" s="72">
        <f t="shared" si="0"/>
        <v>3.9024390243902439E-2</v>
      </c>
    </row>
    <row r="28" spans="1:19">
      <c r="A28" s="7"/>
      <c r="B28" s="8"/>
      <c r="C28" s="9"/>
      <c r="D28" s="8"/>
      <c r="E28" s="9"/>
      <c r="I28" s="13" t="s">
        <v>30</v>
      </c>
      <c r="J28" s="51">
        <v>1025</v>
      </c>
      <c r="K28" s="52"/>
      <c r="L28" s="40"/>
      <c r="P28" s="64" t="s">
        <v>67</v>
      </c>
      <c r="Q28" s="65">
        <v>735</v>
      </c>
      <c r="R28" s="65">
        <v>734</v>
      </c>
      <c r="S28" s="66">
        <f t="shared" si="0"/>
        <v>-1.3605442176870747E-3</v>
      </c>
    </row>
    <row r="29" spans="1:19">
      <c r="A29" s="7" t="s">
        <v>68</v>
      </c>
      <c r="B29" s="8">
        <v>3248</v>
      </c>
      <c r="C29" s="9">
        <v>5.2398351861929565E-2</v>
      </c>
      <c r="D29" s="8">
        <v>3109</v>
      </c>
      <c r="E29" s="9">
        <f>D29/D34</f>
        <v>4.8621428459721942E-2</v>
      </c>
      <c r="I29" s="13"/>
      <c r="J29" s="54" t="s">
        <v>14</v>
      </c>
      <c r="K29" s="13" t="s">
        <v>14</v>
      </c>
      <c r="L29" s="37"/>
      <c r="P29" s="67" t="s">
        <v>69</v>
      </c>
      <c r="Q29" s="73">
        <v>1538</v>
      </c>
      <c r="R29" s="65">
        <v>1370</v>
      </c>
      <c r="S29" s="66">
        <f t="shared" si="0"/>
        <v>-0.10923276983094929</v>
      </c>
    </row>
    <row r="30" spans="1:19">
      <c r="B30" s="6"/>
      <c r="C30" s="9"/>
      <c r="D30" s="6"/>
      <c r="E30" s="9"/>
      <c r="I30" s="34" t="s">
        <v>70</v>
      </c>
      <c r="J30" s="36" t="s">
        <v>71</v>
      </c>
      <c r="K30" s="34" t="s">
        <v>72</v>
      </c>
      <c r="L30" s="35" t="s">
        <v>10</v>
      </c>
      <c r="P30" s="74"/>
      <c r="Q30" s="75"/>
      <c r="R30" s="75"/>
      <c r="S30" s="76"/>
    </row>
    <row r="31" spans="1:19" ht="15.75">
      <c r="A31" s="13" t="s">
        <v>73</v>
      </c>
      <c r="B31" s="8">
        <v>9243</v>
      </c>
      <c r="C31" s="9">
        <v>0.13724636554458525</v>
      </c>
      <c r="D31" s="8">
        <v>7078</v>
      </c>
      <c r="E31" s="9">
        <f>D31/D34</f>
        <v>0.11069233536118105</v>
      </c>
      <c r="I31" s="13" t="s">
        <v>43</v>
      </c>
      <c r="J31" s="49">
        <v>1152</v>
      </c>
      <c r="K31" s="50">
        <v>1111</v>
      </c>
      <c r="L31" s="55">
        <f t="shared" ref="L31:L36" si="2">(K31-J31)/J31</f>
        <v>-3.5590277777777776E-2</v>
      </c>
      <c r="P31" s="77" t="s">
        <v>74</v>
      </c>
      <c r="Q31" s="65">
        <f>SUM(Q6:Q29)</f>
        <v>60726</v>
      </c>
      <c r="R31" s="65">
        <f>SUM(R6:R29)</f>
        <v>64090</v>
      </c>
      <c r="S31" s="66">
        <f>(R31-Q31)/Q31</f>
        <v>5.5396370582617004E-2</v>
      </c>
    </row>
    <row r="32" spans="1:19" ht="15.75">
      <c r="A32" s="2"/>
      <c r="B32" s="5"/>
      <c r="C32" s="5"/>
      <c r="D32" s="5"/>
      <c r="E32" s="5"/>
      <c r="I32" s="13" t="s">
        <v>75</v>
      </c>
      <c r="J32" s="49">
        <v>9213</v>
      </c>
      <c r="K32" s="50">
        <v>8886</v>
      </c>
      <c r="L32" s="55">
        <f t="shared" si="2"/>
        <v>-3.5493324649951155E-2</v>
      </c>
      <c r="P32" s="78"/>
      <c r="Q32" s="78"/>
      <c r="R32" s="78"/>
      <c r="S32" s="79"/>
    </row>
    <row r="33" spans="1:20">
      <c r="B33" s="6"/>
      <c r="C33" s="6"/>
      <c r="D33" s="6"/>
      <c r="E33" s="6"/>
      <c r="I33" s="13" t="s">
        <v>48</v>
      </c>
      <c r="J33" s="49">
        <v>7455</v>
      </c>
      <c r="K33" s="50">
        <v>8229</v>
      </c>
      <c r="L33" s="55">
        <f t="shared" si="2"/>
        <v>0.10382293762575452</v>
      </c>
      <c r="P33" s="203"/>
      <c r="Q33" s="226"/>
      <c r="R33" s="226"/>
      <c r="S33" s="226"/>
      <c r="T33" s="226"/>
    </row>
    <row r="34" spans="1:20">
      <c r="A34" s="3" t="s">
        <v>76</v>
      </c>
      <c r="B34" s="14">
        <v>60726</v>
      </c>
      <c r="C34" s="15">
        <v>1</v>
      </c>
      <c r="D34" s="14">
        <f>SUM(D25:D31)</f>
        <v>63943</v>
      </c>
      <c r="E34" s="15">
        <v>1</v>
      </c>
      <c r="I34" s="13" t="s">
        <v>25</v>
      </c>
      <c r="J34" s="56">
        <v>202</v>
      </c>
      <c r="K34" s="57">
        <v>63</v>
      </c>
      <c r="L34" s="55">
        <f t="shared" si="2"/>
        <v>-0.68811881188118806</v>
      </c>
      <c r="P34" s="199" t="s">
        <v>77</v>
      </c>
      <c r="Q34" s="199"/>
      <c r="R34" s="199"/>
      <c r="S34" s="199"/>
      <c r="T34" s="199"/>
    </row>
    <row r="35" spans="1:20">
      <c r="A35" s="2"/>
      <c r="B35" s="2"/>
      <c r="C35" s="2"/>
      <c r="D35" s="16"/>
      <c r="E35" s="17"/>
      <c r="I35" s="13" t="s">
        <v>28</v>
      </c>
      <c r="J35" s="56">
        <v>1293</v>
      </c>
      <c r="K35" s="57">
        <v>482</v>
      </c>
      <c r="L35" s="55">
        <f t="shared" si="2"/>
        <v>-0.62722351121423048</v>
      </c>
      <c r="P35" s="199" t="s">
        <v>78</v>
      </c>
      <c r="Q35" s="199"/>
      <c r="R35" s="199"/>
      <c r="S35" s="199"/>
      <c r="T35" s="199"/>
    </row>
    <row r="36" spans="1:20">
      <c r="I36" s="13" t="s">
        <v>30</v>
      </c>
      <c r="J36" s="56">
        <v>263</v>
      </c>
      <c r="K36" s="57">
        <v>112</v>
      </c>
      <c r="L36" s="55">
        <f t="shared" si="2"/>
        <v>-0.57414448669201523</v>
      </c>
      <c r="P36" s="80" t="s">
        <v>79</v>
      </c>
      <c r="Q36" s="67"/>
      <c r="R36" s="67" t="s">
        <v>14</v>
      </c>
      <c r="S36" s="67" t="s">
        <v>14</v>
      </c>
      <c r="T36" s="13"/>
    </row>
    <row r="37" spans="1:20">
      <c r="A37" s="18"/>
      <c r="B37" s="19"/>
      <c r="C37" s="19"/>
      <c r="D37" s="19"/>
      <c r="E37" s="19"/>
      <c r="I37" s="13"/>
      <c r="J37" s="44" t="s">
        <v>14</v>
      </c>
      <c r="K37" s="13" t="s">
        <v>14</v>
      </c>
      <c r="L37" s="37"/>
      <c r="P37" s="80" t="s">
        <v>80</v>
      </c>
      <c r="Q37" s="67"/>
      <c r="R37" s="67"/>
      <c r="S37" s="67"/>
      <c r="T37" s="13"/>
    </row>
    <row r="38" spans="1:20">
      <c r="A38" s="199" t="s">
        <v>81</v>
      </c>
      <c r="B38" s="199"/>
      <c r="C38" s="199"/>
      <c r="D38" s="199"/>
      <c r="E38" s="199"/>
      <c r="I38" s="34" t="s">
        <v>82</v>
      </c>
      <c r="J38" s="48" t="s">
        <v>83</v>
      </c>
      <c r="K38" s="48" t="s">
        <v>84</v>
      </c>
      <c r="L38" s="35" t="s">
        <v>10</v>
      </c>
      <c r="P38" s="80" t="s">
        <v>85</v>
      </c>
      <c r="Q38" s="67"/>
      <c r="R38" s="67"/>
      <c r="S38" s="67"/>
      <c r="T38" s="13"/>
    </row>
    <row r="39" spans="1:20">
      <c r="A39" s="227" t="s">
        <v>86</v>
      </c>
      <c r="B39" s="227"/>
      <c r="C39" s="227"/>
      <c r="D39" s="227"/>
      <c r="E39" s="227"/>
      <c r="I39" s="13" t="s">
        <v>43</v>
      </c>
      <c r="J39" s="56">
        <v>785</v>
      </c>
      <c r="K39" s="56">
        <v>523</v>
      </c>
      <c r="L39" s="40">
        <f t="shared" ref="L39:L44" si="3">(K39-J39)/J39</f>
        <v>-0.33375796178343947</v>
      </c>
      <c r="P39" s="80" t="s">
        <v>87</v>
      </c>
      <c r="Q39" s="67"/>
      <c r="R39" s="67"/>
      <c r="S39" s="67"/>
      <c r="T39" s="13"/>
    </row>
    <row r="40" spans="1:20">
      <c r="A40" s="82" t="s">
        <v>88</v>
      </c>
      <c r="I40" s="13" t="s">
        <v>89</v>
      </c>
      <c r="J40" s="49">
        <v>6277</v>
      </c>
      <c r="K40" s="49">
        <v>4183</v>
      </c>
      <c r="L40" s="40">
        <f t="shared" si="3"/>
        <v>-0.33359885295523339</v>
      </c>
      <c r="P40" s="80" t="s">
        <v>90</v>
      </c>
      <c r="Q40" s="81"/>
      <c r="R40" s="81"/>
      <c r="S40" s="81"/>
      <c r="T40" s="81"/>
    </row>
    <row r="41" spans="1:20">
      <c r="A41" s="20" t="s">
        <v>91</v>
      </c>
      <c r="I41" s="13" t="s">
        <v>48</v>
      </c>
      <c r="J41" s="49">
        <v>5218</v>
      </c>
      <c r="K41" s="49">
        <v>3409</v>
      </c>
      <c r="L41" s="40">
        <f t="shared" si="3"/>
        <v>-0.34668455346876198</v>
      </c>
    </row>
    <row r="42" spans="1:20">
      <c r="A42" s="21" t="s">
        <v>92</v>
      </c>
      <c r="I42" s="13" t="s">
        <v>25</v>
      </c>
      <c r="J42" s="56">
        <v>179</v>
      </c>
      <c r="K42" s="56">
        <v>67</v>
      </c>
      <c r="L42" s="40">
        <f t="shared" si="3"/>
        <v>-0.62569832402234637</v>
      </c>
    </row>
    <row r="43" spans="1:20">
      <c r="I43" s="13" t="s">
        <v>28</v>
      </c>
      <c r="J43" s="56">
        <v>600</v>
      </c>
      <c r="K43" s="56">
        <v>513</v>
      </c>
      <c r="L43" s="40">
        <f t="shared" si="3"/>
        <v>-0.14499999999999999</v>
      </c>
    </row>
    <row r="44" spans="1:20">
      <c r="I44" s="13" t="s">
        <v>30</v>
      </c>
      <c r="J44" s="56">
        <v>280</v>
      </c>
      <c r="K44" s="56">
        <v>194</v>
      </c>
      <c r="L44" s="40">
        <f t="shared" si="3"/>
        <v>-0.30714285714285716</v>
      </c>
    </row>
    <row r="45" spans="1:20">
      <c r="I45" s="41"/>
      <c r="J45" s="41"/>
      <c r="K45" s="41"/>
      <c r="L45" s="58"/>
    </row>
    <row r="46" spans="1:20">
      <c r="I46" s="59" t="s">
        <v>93</v>
      </c>
      <c r="J46" s="13"/>
      <c r="K46" s="13"/>
      <c r="L46" s="13"/>
    </row>
  </sheetData>
  <mergeCells count="12">
    <mergeCell ref="A1:E1"/>
    <mergeCell ref="A2:E2"/>
    <mergeCell ref="A38:E38"/>
    <mergeCell ref="A39:E39"/>
    <mergeCell ref="P35:T35"/>
    <mergeCell ref="I1:L1"/>
    <mergeCell ref="I2:L2"/>
    <mergeCell ref="P1:S1"/>
    <mergeCell ref="P2:S2"/>
    <mergeCell ref="P3:S3"/>
    <mergeCell ref="P33:T33"/>
    <mergeCell ref="P34:T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BE27-D538-4487-BBE2-0E1E91DE2297}">
  <dimension ref="A1:R46"/>
  <sheetViews>
    <sheetView workbookViewId="0">
      <selection activeCell="N1" sqref="N1"/>
    </sheetView>
  </sheetViews>
  <sheetFormatPr defaultRowHeight="15"/>
  <sheetData>
    <row r="1" spans="1:17" ht="21">
      <c r="A1" s="200" t="s">
        <v>94</v>
      </c>
      <c r="B1" s="200"/>
      <c r="C1" s="200"/>
      <c r="D1" s="200"/>
      <c r="G1" s="197" t="s">
        <v>95</v>
      </c>
      <c r="H1" s="197"/>
      <c r="I1" s="197"/>
      <c r="J1" s="197"/>
      <c r="K1" s="197"/>
      <c r="N1" s="201" t="s">
        <v>96</v>
      </c>
      <c r="O1" s="201"/>
      <c r="P1" s="201"/>
      <c r="Q1" s="201"/>
    </row>
    <row r="2" spans="1:17" ht="15.75">
      <c r="A2" s="200" t="s">
        <v>97</v>
      </c>
      <c r="B2" s="200"/>
      <c r="C2" s="200"/>
      <c r="D2" s="200"/>
      <c r="G2" s="198" t="s">
        <v>98</v>
      </c>
      <c r="H2" s="198"/>
      <c r="I2" s="198"/>
      <c r="J2" s="198"/>
      <c r="K2" s="198"/>
      <c r="N2" s="202" t="s">
        <v>5</v>
      </c>
      <c r="O2" s="202"/>
      <c r="P2" s="202"/>
      <c r="Q2" s="202"/>
    </row>
    <row r="3" spans="1:17" ht="15.75">
      <c r="A3" s="13"/>
      <c r="B3" s="13"/>
      <c r="C3" s="13"/>
      <c r="D3" s="13"/>
      <c r="G3" s="2"/>
      <c r="H3" s="2"/>
      <c r="I3" s="2"/>
      <c r="J3" s="2"/>
      <c r="K3" s="2"/>
      <c r="N3" s="202" t="s">
        <v>99</v>
      </c>
      <c r="O3" s="202"/>
      <c r="P3" s="202"/>
      <c r="Q3" s="202"/>
    </row>
    <row r="4" spans="1:17" ht="15.75">
      <c r="A4" s="13" t="s">
        <v>7</v>
      </c>
      <c r="B4" s="36" t="s">
        <v>100</v>
      </c>
      <c r="C4" s="34" t="s">
        <v>8</v>
      </c>
      <c r="D4" s="35" t="s">
        <v>10</v>
      </c>
      <c r="N4" s="60"/>
      <c r="O4" s="60"/>
      <c r="P4" s="60"/>
      <c r="Q4" s="60"/>
    </row>
    <row r="5" spans="1:17" ht="16.5">
      <c r="A5" s="13"/>
      <c r="B5" s="36" t="s">
        <v>14</v>
      </c>
      <c r="C5" s="34" t="s">
        <v>14</v>
      </c>
      <c r="D5" s="37"/>
      <c r="G5" s="3" t="s">
        <v>11</v>
      </c>
      <c r="H5" s="1" t="s">
        <v>12</v>
      </c>
      <c r="I5" s="1" t="s">
        <v>13</v>
      </c>
      <c r="J5" s="1" t="s">
        <v>12</v>
      </c>
      <c r="K5" s="1" t="s">
        <v>13</v>
      </c>
      <c r="N5" s="61" t="s">
        <v>15</v>
      </c>
      <c r="O5" s="63" t="s">
        <v>101</v>
      </c>
      <c r="P5" s="62" t="s">
        <v>102</v>
      </c>
      <c r="Q5" s="63" t="s">
        <v>10</v>
      </c>
    </row>
    <row r="6" spans="1:17">
      <c r="A6" s="34" t="s">
        <v>21</v>
      </c>
      <c r="B6" s="38">
        <v>64315</v>
      </c>
      <c r="C6" s="39">
        <f>SUM(C7:C10)</f>
        <v>60726</v>
      </c>
      <c r="D6" s="40">
        <f t="shared" ref="D6:D10" si="0">(C6-B6)/B6</f>
        <v>-5.5803467309336857E-2</v>
      </c>
      <c r="G6" s="3"/>
      <c r="H6" s="1" t="s">
        <v>103</v>
      </c>
      <c r="I6" s="1" t="s">
        <v>19</v>
      </c>
      <c r="J6" s="1" t="s">
        <v>18</v>
      </c>
      <c r="K6" s="1" t="s">
        <v>19</v>
      </c>
      <c r="N6" s="64" t="s">
        <v>22</v>
      </c>
      <c r="O6" s="65">
        <v>214</v>
      </c>
      <c r="P6" s="65">
        <v>209</v>
      </c>
      <c r="Q6" s="66">
        <f t="shared" ref="Q6:Q29" si="1">(P6-O6)/O6</f>
        <v>-2.336448598130841E-2</v>
      </c>
    </row>
    <row r="7" spans="1:17">
      <c r="A7" s="13" t="s">
        <v>23</v>
      </c>
      <c r="B7" s="38">
        <v>47984</v>
      </c>
      <c r="C7" s="39">
        <f>SUM(C17,C25,C33,C41)</f>
        <v>46103</v>
      </c>
      <c r="D7" s="40">
        <f t="shared" si="0"/>
        <v>-3.920056685561854E-2</v>
      </c>
      <c r="G7" s="2"/>
      <c r="H7" s="5"/>
      <c r="I7" s="5"/>
      <c r="J7" s="5"/>
      <c r="K7" s="5"/>
      <c r="N7" s="64" t="s">
        <v>104</v>
      </c>
      <c r="O7" s="65">
        <v>3794</v>
      </c>
      <c r="P7" s="68">
        <v>3533</v>
      </c>
      <c r="Q7" s="66">
        <f t="shared" si="1"/>
        <v>-6.8792830785450718E-2</v>
      </c>
    </row>
    <row r="8" spans="1:17">
      <c r="A8" s="13" t="s">
        <v>25</v>
      </c>
      <c r="B8" s="38">
        <v>3587</v>
      </c>
      <c r="C8" s="39">
        <f>SUM(C18,C26,C34,C42)</f>
        <v>3394</v>
      </c>
      <c r="D8" s="40">
        <f t="shared" si="0"/>
        <v>-5.3805408419291885E-2</v>
      </c>
      <c r="H8" s="6"/>
      <c r="I8" s="6"/>
      <c r="J8" s="6"/>
      <c r="K8" s="6"/>
      <c r="N8" s="64" t="s">
        <v>105</v>
      </c>
      <c r="O8" s="65">
        <v>2199</v>
      </c>
      <c r="P8" s="68">
        <v>1712</v>
      </c>
      <c r="Q8" s="66">
        <f t="shared" si="1"/>
        <v>-0.22146430195543429</v>
      </c>
    </row>
    <row r="9" spans="1:17">
      <c r="A9" s="13" t="s">
        <v>28</v>
      </c>
      <c r="B9" s="38">
        <v>7388</v>
      </c>
      <c r="C9" s="39">
        <f>SUM(C19,C27,C35,C43)</f>
        <v>8371</v>
      </c>
      <c r="D9" s="40">
        <f t="shared" si="0"/>
        <v>0.1330536004331348</v>
      </c>
      <c r="G9" s="7" t="s">
        <v>27</v>
      </c>
      <c r="H9" s="8">
        <v>6051</v>
      </c>
      <c r="I9" s="9">
        <v>9.4083806266034367E-2</v>
      </c>
      <c r="J9" s="8">
        <v>7360</v>
      </c>
      <c r="K9" s="9">
        <f>J9/J34</f>
        <v>0.12120014491321675</v>
      </c>
      <c r="N9" s="64" t="s">
        <v>106</v>
      </c>
      <c r="O9" s="65">
        <v>202</v>
      </c>
      <c r="P9" s="65">
        <v>337</v>
      </c>
      <c r="Q9" s="66">
        <f t="shared" si="1"/>
        <v>0.66831683168316836</v>
      </c>
    </row>
    <row r="10" spans="1:17">
      <c r="A10" s="41" t="s">
        <v>107</v>
      </c>
      <c r="B10" s="42">
        <v>5356</v>
      </c>
      <c r="C10" s="43">
        <f>SUM(C20,C28,C36,C44)</f>
        <v>2858</v>
      </c>
      <c r="D10" s="40">
        <f t="shared" si="0"/>
        <v>-0.4663928304705004</v>
      </c>
      <c r="H10" s="6"/>
      <c r="I10" s="9"/>
      <c r="J10" s="6"/>
      <c r="K10" s="9"/>
      <c r="N10" s="64" t="s">
        <v>31</v>
      </c>
      <c r="O10" s="65">
        <v>102</v>
      </c>
      <c r="P10" s="65">
        <v>80</v>
      </c>
      <c r="Q10" s="66">
        <f t="shared" si="1"/>
        <v>-0.21568627450980393</v>
      </c>
    </row>
    <row r="11" spans="1:17">
      <c r="A11" s="13"/>
      <c r="B11" s="44" t="s">
        <v>14</v>
      </c>
      <c r="C11" s="13" t="s">
        <v>14</v>
      </c>
      <c r="D11" s="45"/>
      <c r="G11" s="7" t="s">
        <v>32</v>
      </c>
      <c r="H11" s="8">
        <v>5889</v>
      </c>
      <c r="I11" s="9">
        <v>9.1564953743294722E-2</v>
      </c>
      <c r="J11" s="8">
        <v>6325</v>
      </c>
      <c r="K11" s="9">
        <f>J11/J34</f>
        <v>0.10415637453479563</v>
      </c>
      <c r="N11" s="64" t="s">
        <v>33</v>
      </c>
      <c r="O11" s="65">
        <v>34276</v>
      </c>
      <c r="P11" s="65">
        <v>33279</v>
      </c>
      <c r="Q11" s="66">
        <f t="shared" si="1"/>
        <v>-2.9087408098961372E-2</v>
      </c>
    </row>
    <row r="12" spans="1:17">
      <c r="A12" s="46" t="s">
        <v>34</v>
      </c>
      <c r="B12" s="42">
        <v>43407</v>
      </c>
      <c r="C12" s="16">
        <f>C7+C8-6982-1182</f>
        <v>41333</v>
      </c>
      <c r="D12" s="47">
        <f>(C12-B12)/B12</f>
        <v>-4.7780311931255329E-2</v>
      </c>
      <c r="H12" s="6"/>
      <c r="I12" s="9"/>
      <c r="J12" s="6"/>
      <c r="K12" s="9"/>
      <c r="N12" s="64" t="s">
        <v>35</v>
      </c>
      <c r="O12" s="65">
        <v>26</v>
      </c>
      <c r="P12" s="65">
        <v>57</v>
      </c>
      <c r="Q12" s="66">
        <f t="shared" si="1"/>
        <v>1.1923076923076923</v>
      </c>
    </row>
    <row r="13" spans="1:17">
      <c r="A13" s="13"/>
      <c r="B13" s="36" t="s">
        <v>14</v>
      </c>
      <c r="C13" s="34" t="s">
        <v>14</v>
      </c>
      <c r="D13" s="37"/>
      <c r="G13" s="7" t="s">
        <v>36</v>
      </c>
      <c r="H13" s="8">
        <v>8789</v>
      </c>
      <c r="I13" s="9">
        <v>0.13665552359480682</v>
      </c>
      <c r="J13" s="8">
        <v>6869</v>
      </c>
      <c r="K13" s="9">
        <f>J13/J34</f>
        <v>0.11311464611533775</v>
      </c>
      <c r="N13" s="64" t="s">
        <v>37</v>
      </c>
      <c r="O13" s="65">
        <v>1990</v>
      </c>
      <c r="P13" s="69">
        <v>2222</v>
      </c>
      <c r="Q13" s="66">
        <f t="shared" si="1"/>
        <v>0.11658291457286432</v>
      </c>
    </row>
    <row r="14" spans="1:17">
      <c r="A14" s="34" t="s">
        <v>38</v>
      </c>
      <c r="B14" s="36" t="s">
        <v>108</v>
      </c>
      <c r="C14" s="3" t="s">
        <v>109</v>
      </c>
      <c r="D14" s="35" t="s">
        <v>10</v>
      </c>
      <c r="H14" s="6"/>
      <c r="I14" s="9"/>
      <c r="J14" s="6"/>
      <c r="K14" s="9"/>
      <c r="N14" s="64" t="s">
        <v>41</v>
      </c>
      <c r="O14" s="65">
        <v>3470</v>
      </c>
      <c r="P14" s="65">
        <v>2869</v>
      </c>
      <c r="Q14" s="66">
        <f t="shared" si="1"/>
        <v>-0.17319884726224785</v>
      </c>
    </row>
    <row r="15" spans="1:17">
      <c r="A15" s="13" t="s">
        <v>43</v>
      </c>
      <c r="B15" s="38">
        <v>1570.5625</v>
      </c>
      <c r="C15" s="53">
        <f>C16/16</f>
        <v>1399.5625</v>
      </c>
      <c r="D15" s="40">
        <f t="shared" ref="D15:D20" si="2">(C15-B15)/B15</f>
        <v>-0.10887818854709698</v>
      </c>
      <c r="G15" s="7" t="s">
        <v>42</v>
      </c>
      <c r="H15" s="8">
        <v>13528</v>
      </c>
      <c r="I15" s="9">
        <v>0.21033973412112261</v>
      </c>
      <c r="J15" s="8">
        <v>10979</v>
      </c>
      <c r="K15" s="9">
        <f>J15/J34</f>
        <v>0.18079570529921285</v>
      </c>
      <c r="N15" s="64" t="s">
        <v>44</v>
      </c>
      <c r="O15" s="65">
        <v>34</v>
      </c>
      <c r="P15" s="65">
        <v>19</v>
      </c>
      <c r="Q15" s="66">
        <f t="shared" si="1"/>
        <v>-0.44117647058823528</v>
      </c>
    </row>
    <row r="16" spans="1:17">
      <c r="A16" s="13" t="s">
        <v>45</v>
      </c>
      <c r="B16" s="38">
        <v>25129</v>
      </c>
      <c r="C16" s="53">
        <f>SUM(C17:C20)</f>
        <v>22393</v>
      </c>
      <c r="D16" s="40">
        <f t="shared" si="2"/>
        <v>-0.10887818854709698</v>
      </c>
      <c r="H16" s="8"/>
      <c r="I16" s="9"/>
      <c r="J16" s="8"/>
      <c r="K16" s="9"/>
      <c r="N16" s="64" t="s">
        <v>46</v>
      </c>
      <c r="O16" s="65">
        <v>5315</v>
      </c>
      <c r="P16" s="65">
        <v>2801</v>
      </c>
      <c r="Q16" s="66">
        <f t="shared" si="1"/>
        <v>-0.47300094073377236</v>
      </c>
    </row>
    <row r="17" spans="1:17">
      <c r="A17" s="13" t="s">
        <v>48</v>
      </c>
      <c r="B17" s="38">
        <v>17708</v>
      </c>
      <c r="C17" s="53">
        <v>16583</v>
      </c>
      <c r="D17" s="40">
        <f t="shared" si="2"/>
        <v>-6.3530607634967248E-2</v>
      </c>
      <c r="G17" s="2" t="s">
        <v>47</v>
      </c>
      <c r="H17" s="10">
        <v>34257</v>
      </c>
      <c r="I17" s="11">
        <v>0.53264401772525849</v>
      </c>
      <c r="J17" s="10">
        <f>SUM(J9:J16)</f>
        <v>31533</v>
      </c>
      <c r="K17" s="11">
        <f>J17/J34</f>
        <v>0.51926687086256296</v>
      </c>
      <c r="N17" s="64" t="s">
        <v>49</v>
      </c>
      <c r="O17" s="65">
        <v>35</v>
      </c>
      <c r="P17" s="65">
        <v>33</v>
      </c>
      <c r="Q17" s="66">
        <f t="shared" si="1"/>
        <v>-5.7142857142857141E-2</v>
      </c>
    </row>
    <row r="18" spans="1:17">
      <c r="A18" s="13" t="s">
        <v>25</v>
      </c>
      <c r="B18" s="44">
        <v>1657</v>
      </c>
      <c r="C18" s="53">
        <v>1653</v>
      </c>
      <c r="D18" s="40">
        <f t="shared" si="2"/>
        <v>-2.4140012070006035E-3</v>
      </c>
      <c r="H18" s="6"/>
      <c r="I18" s="9"/>
      <c r="J18" s="8"/>
      <c r="K18" s="9"/>
      <c r="N18" s="64" t="s">
        <v>50</v>
      </c>
      <c r="O18" s="65">
        <v>41</v>
      </c>
      <c r="P18" s="65">
        <v>54</v>
      </c>
      <c r="Q18" s="66">
        <f t="shared" si="1"/>
        <v>0.31707317073170732</v>
      </c>
    </row>
    <row r="19" spans="1:17">
      <c r="A19" s="13" t="s">
        <v>28</v>
      </c>
      <c r="B19" s="38">
        <v>3451</v>
      </c>
      <c r="C19" s="53">
        <v>2867</v>
      </c>
      <c r="D19" s="40">
        <f t="shared" si="2"/>
        <v>-0.16922631121414083</v>
      </c>
      <c r="G19" s="7" t="s">
        <v>51</v>
      </c>
      <c r="H19" s="8">
        <v>6208</v>
      </c>
      <c r="I19" s="9">
        <v>9.6524916426961052E-2</v>
      </c>
      <c r="J19" s="8">
        <v>4758</v>
      </c>
      <c r="K19" s="9">
        <f>J19/J34</f>
        <v>7.8351941507756151E-2</v>
      </c>
      <c r="N19" s="64" t="s">
        <v>52</v>
      </c>
      <c r="O19" s="65">
        <v>777</v>
      </c>
      <c r="P19" s="65">
        <v>802</v>
      </c>
      <c r="Q19" s="66">
        <f t="shared" si="1"/>
        <v>3.2175032175032175E-2</v>
      </c>
    </row>
    <row r="20" spans="1:17">
      <c r="A20" s="13" t="s">
        <v>107</v>
      </c>
      <c r="B20" s="38">
        <v>2313</v>
      </c>
      <c r="C20" s="53">
        <v>1290</v>
      </c>
      <c r="D20" s="40">
        <f t="shared" si="2"/>
        <v>-0.44228274967574577</v>
      </c>
      <c r="H20" s="6"/>
      <c r="I20" s="9"/>
      <c r="J20" s="6"/>
      <c r="K20" s="9"/>
      <c r="N20" s="64" t="s">
        <v>53</v>
      </c>
      <c r="O20" s="65">
        <v>306</v>
      </c>
      <c r="P20" s="65">
        <v>928</v>
      </c>
      <c r="Q20" s="66">
        <f t="shared" si="1"/>
        <v>2.0326797385620914</v>
      </c>
    </row>
    <row r="21" spans="1:17">
      <c r="A21" s="13"/>
      <c r="B21" s="44" t="s">
        <v>14</v>
      </c>
      <c r="C21" s="13" t="s">
        <v>14</v>
      </c>
      <c r="D21" s="37"/>
      <c r="G21" s="7" t="s">
        <v>54</v>
      </c>
      <c r="H21" s="8">
        <v>1150</v>
      </c>
      <c r="I21" s="9">
        <v>1.7880743216978932E-2</v>
      </c>
      <c r="J21" s="8">
        <v>826</v>
      </c>
      <c r="K21" s="9">
        <f>J21/J34</f>
        <v>1.3602081480749597E-2</v>
      </c>
      <c r="N21" s="64" t="s">
        <v>55</v>
      </c>
      <c r="O21" s="65">
        <v>1011</v>
      </c>
      <c r="P21" s="65">
        <v>1170</v>
      </c>
      <c r="Q21" s="66">
        <f t="shared" si="1"/>
        <v>0.15727002967359049</v>
      </c>
    </row>
    <row r="22" spans="1:17">
      <c r="A22" s="34" t="s">
        <v>56</v>
      </c>
      <c r="B22" s="36" t="s">
        <v>110</v>
      </c>
      <c r="C22" s="34" t="s">
        <v>111</v>
      </c>
      <c r="D22" s="35" t="s">
        <v>10</v>
      </c>
      <c r="H22" s="6"/>
      <c r="I22" s="9"/>
      <c r="J22" s="6"/>
      <c r="K22" s="9"/>
      <c r="N22" s="64" t="s">
        <v>112</v>
      </c>
      <c r="O22" s="65">
        <v>7606</v>
      </c>
      <c r="P22" s="65">
        <v>7544</v>
      </c>
      <c r="Q22" s="66">
        <f t="shared" si="1"/>
        <v>-8.1514593741782802E-3</v>
      </c>
    </row>
    <row r="23" spans="1:17">
      <c r="A23" s="13" t="s">
        <v>43</v>
      </c>
      <c r="B23" s="38">
        <v>1488.3125</v>
      </c>
      <c r="C23" s="39">
        <f>C24/16</f>
        <v>1427.6875</v>
      </c>
      <c r="D23" s="40">
        <f t="shared" ref="D23:D28" si="3">(C23-B23)/B23</f>
        <v>-4.0734052828287071E-2</v>
      </c>
      <c r="G23" s="2" t="s">
        <v>59</v>
      </c>
      <c r="H23" s="12">
        <v>7358</v>
      </c>
      <c r="I23" s="11">
        <v>0.11440565964393998</v>
      </c>
      <c r="J23" s="10">
        <f>SUM(J19:J22)</f>
        <v>5584</v>
      </c>
      <c r="K23" s="11">
        <f>J23/J34</f>
        <v>9.1954022988505746E-2</v>
      </c>
      <c r="N23" s="64" t="s">
        <v>60</v>
      </c>
      <c r="O23" s="65">
        <v>187</v>
      </c>
      <c r="P23" s="65">
        <v>88</v>
      </c>
      <c r="Q23" s="66">
        <f t="shared" si="1"/>
        <v>-0.52941176470588236</v>
      </c>
    </row>
    <row r="24" spans="1:17">
      <c r="A24" s="13" t="s">
        <v>45</v>
      </c>
      <c r="B24" s="38">
        <v>23813</v>
      </c>
      <c r="C24" s="39">
        <f>SUM(C25:C28)</f>
        <v>22843</v>
      </c>
      <c r="D24" s="40">
        <f t="shared" si="3"/>
        <v>-4.0734052828287071E-2</v>
      </c>
      <c r="H24" s="6"/>
      <c r="I24" s="9"/>
      <c r="J24" s="6"/>
      <c r="K24" s="9"/>
      <c r="N24" s="64" t="s">
        <v>113</v>
      </c>
      <c r="O24" s="65">
        <v>17</v>
      </c>
      <c r="P24" s="65">
        <v>13</v>
      </c>
      <c r="Q24" s="66">
        <f t="shared" si="1"/>
        <v>-0.23529411764705882</v>
      </c>
    </row>
    <row r="25" spans="1:17">
      <c r="A25" s="13" t="s">
        <v>48</v>
      </c>
      <c r="B25" s="38">
        <v>17624</v>
      </c>
      <c r="C25" s="52">
        <v>16847</v>
      </c>
      <c r="D25" s="40">
        <f t="shared" si="3"/>
        <v>-4.4087607807535178E-2</v>
      </c>
      <c r="G25" s="2" t="s">
        <v>62</v>
      </c>
      <c r="H25" s="10">
        <v>41615</v>
      </c>
      <c r="I25" s="11">
        <v>0.64704967736919849</v>
      </c>
      <c r="J25" s="10">
        <f>J17+J23</f>
        <v>37117</v>
      </c>
      <c r="K25" s="11">
        <f>J25/J34</f>
        <v>0.6112208938510687</v>
      </c>
      <c r="N25" s="64" t="s">
        <v>63</v>
      </c>
      <c r="O25" s="65">
        <v>18</v>
      </c>
      <c r="P25" s="65">
        <v>41</v>
      </c>
      <c r="Q25" s="66">
        <f t="shared" si="1"/>
        <v>1.2777777777777777</v>
      </c>
    </row>
    <row r="26" spans="1:17">
      <c r="A26" s="13" t="s">
        <v>25</v>
      </c>
      <c r="B26" s="44">
        <v>1174</v>
      </c>
      <c r="C26" s="52">
        <v>1360</v>
      </c>
      <c r="D26" s="40">
        <f t="shared" si="3"/>
        <v>0.15843270868824533</v>
      </c>
      <c r="H26" s="6"/>
      <c r="I26" s="9"/>
      <c r="J26" s="6"/>
      <c r="K26" s="9"/>
      <c r="N26" s="64" t="s">
        <v>114</v>
      </c>
      <c r="O26" s="65">
        <v>166</v>
      </c>
      <c r="P26" s="65">
        <v>47</v>
      </c>
      <c r="Q26" s="66">
        <f>(P26-O26)/O26</f>
        <v>-0.7168674698795181</v>
      </c>
    </row>
    <row r="27" spans="1:17" ht="60.75">
      <c r="A27" s="13" t="s">
        <v>28</v>
      </c>
      <c r="B27" s="38">
        <v>2819</v>
      </c>
      <c r="C27" s="53">
        <v>3611</v>
      </c>
      <c r="D27" s="40">
        <f t="shared" si="3"/>
        <v>0.2809506917346577</v>
      </c>
      <c r="G27" s="7" t="s">
        <v>65</v>
      </c>
      <c r="H27" s="8">
        <v>10503</v>
      </c>
      <c r="I27" s="9">
        <v>0.16330560522428672</v>
      </c>
      <c r="J27" s="8">
        <v>11118</v>
      </c>
      <c r="K27" s="9">
        <f>J27/J34</f>
        <v>0.18308467542732931</v>
      </c>
      <c r="N27" s="70" t="s">
        <v>66</v>
      </c>
      <c r="O27" s="71">
        <v>423</v>
      </c>
      <c r="P27" s="71">
        <v>615</v>
      </c>
      <c r="Q27" s="72">
        <f t="shared" si="1"/>
        <v>0.45390070921985815</v>
      </c>
    </row>
    <row r="28" spans="1:17">
      <c r="A28" s="13" t="s">
        <v>107</v>
      </c>
      <c r="B28" s="38">
        <v>2196</v>
      </c>
      <c r="C28" s="52">
        <v>1025</v>
      </c>
      <c r="D28" s="40">
        <f t="shared" si="3"/>
        <v>-0.53324225865209474</v>
      </c>
      <c r="G28" s="7"/>
      <c r="H28" s="8"/>
      <c r="I28" s="9"/>
      <c r="J28" s="8"/>
      <c r="K28" s="9"/>
      <c r="N28" s="64" t="s">
        <v>67</v>
      </c>
      <c r="O28" s="65">
        <v>779</v>
      </c>
      <c r="P28" s="65">
        <v>735</v>
      </c>
      <c r="Q28" s="66">
        <f t="shared" si="1"/>
        <v>-5.6482670089858793E-2</v>
      </c>
    </row>
    <row r="29" spans="1:17">
      <c r="A29" s="13"/>
      <c r="B29" s="44" t="s">
        <v>14</v>
      </c>
      <c r="C29" s="13" t="s">
        <v>14</v>
      </c>
      <c r="D29" s="37"/>
      <c r="G29" s="7" t="s">
        <v>68</v>
      </c>
      <c r="H29" s="8">
        <v>3370</v>
      </c>
      <c r="I29" s="9">
        <v>5.2398351861929565E-2</v>
      </c>
      <c r="J29" s="8">
        <v>3248</v>
      </c>
      <c r="K29" s="9">
        <f>J29/J34</f>
        <v>5.3486150907354348E-2</v>
      </c>
      <c r="N29" s="64" t="s">
        <v>115</v>
      </c>
      <c r="O29" s="65">
        <v>1327</v>
      </c>
      <c r="P29" s="65">
        <v>144</v>
      </c>
      <c r="Q29" s="66">
        <f t="shared" si="1"/>
        <v>-0.89148455162019591</v>
      </c>
    </row>
    <row r="30" spans="1:17">
      <c r="A30" s="34" t="s">
        <v>70</v>
      </c>
      <c r="B30" s="36" t="s">
        <v>116</v>
      </c>
      <c r="C30" s="34" t="s">
        <v>117</v>
      </c>
      <c r="D30" s="35" t="s">
        <v>10</v>
      </c>
      <c r="H30" s="6"/>
      <c r="I30" s="9"/>
      <c r="J30" s="6"/>
      <c r="K30" s="9"/>
      <c r="N30" s="74"/>
      <c r="O30" s="75"/>
      <c r="P30" s="75"/>
      <c r="Q30" s="76"/>
    </row>
    <row r="31" spans="1:17" ht="15.75">
      <c r="A31" s="13" t="s">
        <v>43</v>
      </c>
      <c r="B31" s="38">
        <v>1054.5</v>
      </c>
      <c r="C31" s="53">
        <f>C32/8</f>
        <v>1151.625</v>
      </c>
      <c r="D31" s="40">
        <f t="shared" ref="D31:D36" si="4">(C31-B31)/B31</f>
        <v>9.2105263157894732E-2</v>
      </c>
      <c r="G31" s="7" t="s">
        <v>118</v>
      </c>
      <c r="H31" s="8">
        <v>8827</v>
      </c>
      <c r="I31" s="9">
        <v>0.13724636554458525</v>
      </c>
      <c r="J31" s="8">
        <v>9243</v>
      </c>
      <c r="K31" s="9">
        <f>J31/J34</f>
        <v>0.15220827981424762</v>
      </c>
      <c r="N31" s="77" t="s">
        <v>74</v>
      </c>
      <c r="O31" s="65">
        <f>SUM(O6:O29)</f>
        <v>64315</v>
      </c>
      <c r="P31" s="65">
        <f>SUM(P6:P29)</f>
        <v>59332</v>
      </c>
      <c r="Q31" s="66">
        <f>(P31-O31)/O31</f>
        <v>-7.7478037782787834E-2</v>
      </c>
    </row>
    <row r="32" spans="1:17" ht="15.75">
      <c r="A32" s="13" t="s">
        <v>75</v>
      </c>
      <c r="B32" s="38">
        <v>8436</v>
      </c>
      <c r="C32" s="53">
        <f>SUM(C33:C36)</f>
        <v>9213</v>
      </c>
      <c r="D32" s="40">
        <f t="shared" si="4"/>
        <v>9.2105263157894732E-2</v>
      </c>
      <c r="G32" s="2"/>
      <c r="H32" s="5"/>
      <c r="I32" s="5"/>
      <c r="J32" s="5"/>
      <c r="K32" s="5"/>
      <c r="N32" s="78"/>
      <c r="O32" s="78"/>
      <c r="P32" s="78"/>
      <c r="Q32" s="79"/>
    </row>
    <row r="33" spans="1:18">
      <c r="A33" s="13" t="s">
        <v>48</v>
      </c>
      <c r="B33" s="38">
        <v>7235</v>
      </c>
      <c r="C33" s="53">
        <v>7455</v>
      </c>
      <c r="D33" s="40">
        <f t="shared" si="4"/>
        <v>3.04077401520387E-2</v>
      </c>
      <c r="H33" s="6"/>
      <c r="I33" s="6"/>
      <c r="J33" s="6"/>
      <c r="K33" s="6"/>
      <c r="N33" s="203" t="s">
        <v>119</v>
      </c>
      <c r="O33" s="226"/>
      <c r="P33" s="226"/>
      <c r="Q33" s="226"/>
      <c r="R33" s="226"/>
    </row>
    <row r="34" spans="1:18">
      <c r="A34" s="13" t="s">
        <v>25</v>
      </c>
      <c r="B34" s="44">
        <v>122</v>
      </c>
      <c r="C34">
        <v>202</v>
      </c>
      <c r="D34" s="40">
        <f t="shared" si="4"/>
        <v>0.65573770491803274</v>
      </c>
      <c r="G34" s="3" t="s">
        <v>76</v>
      </c>
      <c r="H34" s="14">
        <v>64315</v>
      </c>
      <c r="I34" s="15">
        <v>1</v>
      </c>
      <c r="J34" s="14">
        <v>60726</v>
      </c>
      <c r="K34" s="15">
        <v>1</v>
      </c>
      <c r="N34" s="13" t="s">
        <v>120</v>
      </c>
    </row>
    <row r="35" spans="1:18">
      <c r="A35" s="13" t="s">
        <v>28</v>
      </c>
      <c r="B35" s="44">
        <v>618</v>
      </c>
      <c r="C35">
        <v>1293</v>
      </c>
      <c r="D35" s="40">
        <f t="shared" si="4"/>
        <v>1.0922330097087378</v>
      </c>
      <c r="G35" s="2"/>
      <c r="H35" s="2"/>
      <c r="I35" s="2"/>
      <c r="J35" s="16"/>
      <c r="K35" s="17"/>
      <c r="N35" s="83" t="s">
        <v>121</v>
      </c>
      <c r="O35" s="64"/>
      <c r="P35" s="64"/>
      <c r="Q35" s="64"/>
    </row>
    <row r="36" spans="1:18">
      <c r="A36" s="13" t="s">
        <v>107</v>
      </c>
      <c r="B36" s="44">
        <v>461</v>
      </c>
      <c r="C36">
        <v>263</v>
      </c>
      <c r="D36" s="40">
        <f t="shared" si="4"/>
        <v>-0.42950108459869846</v>
      </c>
      <c r="N36" s="83" t="s">
        <v>122</v>
      </c>
      <c r="O36" s="64"/>
      <c r="P36" s="64"/>
      <c r="Q36" s="64"/>
    </row>
    <row r="37" spans="1:18">
      <c r="A37" s="13"/>
      <c r="B37" s="44" t="s">
        <v>14</v>
      </c>
      <c r="C37" s="13" t="s">
        <v>14</v>
      </c>
      <c r="D37" s="37"/>
      <c r="G37" s="18" t="s">
        <v>123</v>
      </c>
      <c r="H37" s="19"/>
      <c r="I37" s="19"/>
      <c r="J37" s="19"/>
      <c r="K37" s="19"/>
      <c r="N37" s="83" t="s">
        <v>124</v>
      </c>
      <c r="O37" s="64"/>
      <c r="P37" s="64"/>
      <c r="Q37" s="64"/>
    </row>
    <row r="38" spans="1:18">
      <c r="A38" s="34" t="s">
        <v>82</v>
      </c>
      <c r="B38" s="36" t="s">
        <v>125</v>
      </c>
      <c r="C38" s="34" t="s">
        <v>126</v>
      </c>
      <c r="D38" s="35" t="s">
        <v>10</v>
      </c>
      <c r="G38" s="203" t="s">
        <v>127</v>
      </c>
      <c r="H38" s="226"/>
      <c r="I38" s="226"/>
      <c r="J38" s="226"/>
      <c r="K38" s="226"/>
      <c r="N38" s="83" t="s">
        <v>128</v>
      </c>
      <c r="O38" s="64"/>
      <c r="P38" s="64"/>
      <c r="Q38" s="64"/>
    </row>
    <row r="39" spans="1:18">
      <c r="A39" s="13" t="s">
        <v>43</v>
      </c>
      <c r="B39" s="44">
        <v>867.125</v>
      </c>
      <c r="C39" s="53">
        <f>C40/8</f>
        <v>784.625</v>
      </c>
      <c r="D39" s="40">
        <f t="shared" ref="D39:D44" si="5">(C39-B39)/B39</f>
        <v>-9.5141992215655183E-2</v>
      </c>
      <c r="N39" s="64"/>
      <c r="O39" s="64"/>
      <c r="P39" s="64"/>
      <c r="Q39" s="64"/>
    </row>
    <row r="40" spans="1:18">
      <c r="A40" s="13" t="s">
        <v>89</v>
      </c>
      <c r="B40" s="38">
        <v>6937</v>
      </c>
      <c r="C40" s="53">
        <f>SUM(C41:C44)</f>
        <v>6277</v>
      </c>
      <c r="D40" s="40">
        <f t="shared" si="5"/>
        <v>-9.5141992215655183E-2</v>
      </c>
      <c r="N40" s="64"/>
      <c r="O40" s="64"/>
      <c r="P40" s="64"/>
      <c r="Q40" s="64"/>
    </row>
    <row r="41" spans="1:18">
      <c r="A41" s="13" t="s">
        <v>48</v>
      </c>
      <c r="B41" s="38">
        <v>5417</v>
      </c>
      <c r="C41" s="53">
        <v>5218</v>
      </c>
      <c r="D41" s="40">
        <f t="shared" si="5"/>
        <v>-3.6736200849178509E-2</v>
      </c>
    </row>
    <row r="42" spans="1:18">
      <c r="A42" s="13" t="s">
        <v>25</v>
      </c>
      <c r="B42" s="44">
        <v>634</v>
      </c>
      <c r="C42">
        <v>179</v>
      </c>
      <c r="D42" s="40">
        <f t="shared" si="5"/>
        <v>-0.71766561514195581</v>
      </c>
    </row>
    <row r="43" spans="1:18">
      <c r="A43" s="13" t="s">
        <v>28</v>
      </c>
      <c r="B43" s="44">
        <v>500</v>
      </c>
      <c r="C43">
        <v>600</v>
      </c>
      <c r="D43" s="40">
        <f t="shared" si="5"/>
        <v>0.2</v>
      </c>
    </row>
    <row r="44" spans="1:18">
      <c r="A44" s="13" t="s">
        <v>107</v>
      </c>
      <c r="B44" s="44">
        <v>386</v>
      </c>
      <c r="C44">
        <v>280</v>
      </c>
      <c r="D44" s="40">
        <f t="shared" si="5"/>
        <v>-0.27461139896373055</v>
      </c>
    </row>
    <row r="45" spans="1:18">
      <c r="A45" s="41"/>
      <c r="B45" s="41"/>
      <c r="C45" s="41"/>
      <c r="D45" s="58"/>
    </row>
    <row r="46" spans="1:18">
      <c r="A46" s="204" t="s">
        <v>129</v>
      </c>
      <c r="B46" s="204"/>
      <c r="C46" s="204"/>
      <c r="D46" s="204"/>
    </row>
  </sheetData>
  <mergeCells count="10">
    <mergeCell ref="A46:D46"/>
    <mergeCell ref="G1:K1"/>
    <mergeCell ref="G2:K2"/>
    <mergeCell ref="G38:K38"/>
    <mergeCell ref="N1:Q1"/>
    <mergeCell ref="N2:Q2"/>
    <mergeCell ref="N3:Q3"/>
    <mergeCell ref="N33:R33"/>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B5AD-78A0-40CA-8243-91D1C3308E09}">
  <dimension ref="A1:R47"/>
  <sheetViews>
    <sheetView workbookViewId="0">
      <selection activeCell="T10" sqref="T10"/>
    </sheetView>
  </sheetViews>
  <sheetFormatPr defaultRowHeight="15"/>
  <cols>
    <col min="14" max="14" width="88.85546875" bestFit="1" customWidth="1"/>
  </cols>
  <sheetData>
    <row r="1" spans="1:17" ht="21">
      <c r="A1" s="200" t="s">
        <v>94</v>
      </c>
      <c r="B1" s="200"/>
      <c r="C1" s="200"/>
      <c r="D1" s="200"/>
      <c r="G1" s="197" t="s">
        <v>130</v>
      </c>
      <c r="H1" s="197"/>
      <c r="I1" s="197"/>
      <c r="J1" s="197"/>
      <c r="K1" s="197"/>
      <c r="N1" s="201" t="s">
        <v>131</v>
      </c>
      <c r="O1" s="201"/>
      <c r="P1" s="201"/>
      <c r="Q1" s="201"/>
    </row>
    <row r="2" spans="1:17" ht="15.75">
      <c r="A2" s="200" t="s">
        <v>132</v>
      </c>
      <c r="B2" s="200"/>
      <c r="C2" s="200"/>
      <c r="D2" s="200"/>
      <c r="G2" s="198" t="s">
        <v>133</v>
      </c>
      <c r="H2" s="198"/>
      <c r="I2" s="198"/>
      <c r="J2" s="198"/>
      <c r="K2" s="198"/>
      <c r="N2" s="202" t="s">
        <v>5</v>
      </c>
      <c r="O2" s="202"/>
      <c r="P2" s="202"/>
      <c r="Q2" s="202"/>
    </row>
    <row r="3" spans="1:17" ht="15.75">
      <c r="A3" s="13"/>
      <c r="B3" s="13"/>
      <c r="C3" s="13"/>
      <c r="D3" s="13"/>
      <c r="G3" s="2"/>
      <c r="H3" s="2"/>
      <c r="I3" s="2"/>
      <c r="J3" s="2"/>
      <c r="K3" s="2"/>
      <c r="N3" s="202" t="s">
        <v>134</v>
      </c>
      <c r="O3" s="202"/>
      <c r="P3" s="202"/>
      <c r="Q3" s="202"/>
    </row>
    <row r="4" spans="1:17" ht="15.75">
      <c r="A4" s="13" t="s">
        <v>7</v>
      </c>
      <c r="B4" s="36" t="s">
        <v>135</v>
      </c>
      <c r="C4" s="34" t="s">
        <v>136</v>
      </c>
      <c r="D4" s="35" t="s">
        <v>10</v>
      </c>
      <c r="N4" s="60"/>
      <c r="O4" s="60"/>
      <c r="P4" s="60"/>
      <c r="Q4" s="60"/>
    </row>
    <row r="5" spans="1:17" ht="16.5">
      <c r="A5" s="13"/>
      <c r="B5" s="36" t="s">
        <v>14</v>
      </c>
      <c r="C5" s="34" t="s">
        <v>14</v>
      </c>
      <c r="D5" s="37"/>
      <c r="G5" s="3" t="s">
        <v>11</v>
      </c>
      <c r="H5" s="1" t="s">
        <v>12</v>
      </c>
      <c r="I5" s="1" t="s">
        <v>13</v>
      </c>
      <c r="J5" s="1" t="s">
        <v>12</v>
      </c>
      <c r="K5" s="1" t="s">
        <v>13</v>
      </c>
      <c r="N5" s="61" t="s">
        <v>15</v>
      </c>
      <c r="O5" s="63" t="s">
        <v>137</v>
      </c>
      <c r="P5" s="63" t="s">
        <v>138</v>
      </c>
      <c r="Q5" s="63" t="s">
        <v>10</v>
      </c>
    </row>
    <row r="6" spans="1:17">
      <c r="A6" s="34" t="s">
        <v>21</v>
      </c>
      <c r="B6" s="38">
        <v>61659</v>
      </c>
      <c r="C6" s="39">
        <f>SUM(C7:C10)</f>
        <v>64315</v>
      </c>
      <c r="D6" s="40">
        <f t="shared" ref="D6:D10" si="0">(C6-B6)/B6</f>
        <v>4.3075625618320117E-2</v>
      </c>
      <c r="G6" s="3"/>
      <c r="H6" s="1" t="s">
        <v>139</v>
      </c>
      <c r="I6" s="1" t="s">
        <v>19</v>
      </c>
      <c r="J6" s="1" t="s">
        <v>140</v>
      </c>
      <c r="K6" s="1" t="s">
        <v>19</v>
      </c>
      <c r="N6" s="64" t="s">
        <v>22</v>
      </c>
      <c r="O6" s="65">
        <v>263</v>
      </c>
      <c r="P6" s="65">
        <v>214</v>
      </c>
      <c r="Q6" s="66">
        <f t="shared" ref="Q6:Q29" si="1">(P6-O6)/O6</f>
        <v>-0.18631178707224336</v>
      </c>
    </row>
    <row r="7" spans="1:17">
      <c r="A7" s="13" t="s">
        <v>23</v>
      </c>
      <c r="B7" s="38">
        <v>45702</v>
      </c>
      <c r="C7" s="39">
        <f>SUM(C17,C25,C33,C41)</f>
        <v>47984</v>
      </c>
      <c r="D7" s="40">
        <f t="shared" si="0"/>
        <v>4.9932169270491447E-2</v>
      </c>
      <c r="G7" s="2"/>
      <c r="H7" s="5"/>
      <c r="I7" s="5"/>
      <c r="J7" s="5"/>
      <c r="K7" s="5"/>
      <c r="N7" s="64" t="s">
        <v>104</v>
      </c>
      <c r="O7" s="65">
        <v>2816</v>
      </c>
      <c r="P7" s="65">
        <v>3794</v>
      </c>
      <c r="Q7" s="66">
        <f t="shared" si="1"/>
        <v>0.34730113636363635</v>
      </c>
    </row>
    <row r="8" spans="1:17">
      <c r="A8" s="13" t="s">
        <v>25</v>
      </c>
      <c r="B8" s="38">
        <v>2435</v>
      </c>
      <c r="C8" s="39">
        <f>SUM(C18,C26,C34,C42)</f>
        <v>3587</v>
      </c>
      <c r="D8" s="40">
        <f t="shared" si="0"/>
        <v>0.47310061601642711</v>
      </c>
      <c r="H8" s="6"/>
      <c r="I8" s="6"/>
      <c r="J8" s="6"/>
      <c r="K8" s="6"/>
      <c r="N8" s="64" t="s">
        <v>105</v>
      </c>
      <c r="O8" s="65">
        <v>2329</v>
      </c>
      <c r="P8" s="65">
        <v>2199</v>
      </c>
      <c r="Q8" s="66">
        <f t="shared" si="1"/>
        <v>-5.5817947617003004E-2</v>
      </c>
    </row>
    <row r="9" spans="1:17">
      <c r="A9" s="13" t="s">
        <v>28</v>
      </c>
      <c r="B9" s="38">
        <v>8795</v>
      </c>
      <c r="C9" s="39">
        <f>SUM(C19,C27,C35,C43)</f>
        <v>7388</v>
      </c>
      <c r="D9" s="40">
        <f t="shared" si="0"/>
        <v>-0.15997725980670835</v>
      </c>
      <c r="G9" s="7" t="s">
        <v>27</v>
      </c>
      <c r="H9" s="8">
        <v>4578</v>
      </c>
      <c r="I9" s="9">
        <v>7.4247068554468929E-2</v>
      </c>
      <c r="J9" s="8">
        <v>6051</v>
      </c>
      <c r="K9" s="9">
        <v>9.4083806266034367E-2</v>
      </c>
      <c r="N9" s="64" t="s">
        <v>106</v>
      </c>
      <c r="O9" s="65">
        <f>159+20+15+11+4+2+1</f>
        <v>212</v>
      </c>
      <c r="P9" s="65">
        <v>202</v>
      </c>
      <c r="Q9" s="66">
        <f t="shared" si="1"/>
        <v>-4.716981132075472E-2</v>
      </c>
    </row>
    <row r="10" spans="1:17">
      <c r="A10" s="41" t="s">
        <v>107</v>
      </c>
      <c r="B10" s="42">
        <v>4727</v>
      </c>
      <c r="C10" s="43">
        <f>SUM(C20,C28,C36,C44)</f>
        <v>5356</v>
      </c>
      <c r="D10" s="40">
        <f t="shared" si="0"/>
        <v>0.13306536915591285</v>
      </c>
      <c r="H10" s="6"/>
      <c r="I10" s="9"/>
      <c r="J10" s="6"/>
      <c r="K10" s="9"/>
      <c r="N10" s="64" t="s">
        <v>31</v>
      </c>
      <c r="O10" s="65">
        <v>84</v>
      </c>
      <c r="P10" s="65">
        <v>102</v>
      </c>
      <c r="Q10" s="66">
        <f t="shared" si="1"/>
        <v>0.21428571428571427</v>
      </c>
    </row>
    <row r="11" spans="1:17">
      <c r="A11" s="13"/>
      <c r="B11" s="44" t="s">
        <v>14</v>
      </c>
      <c r="C11" s="13" t="s">
        <v>14</v>
      </c>
      <c r="D11" s="45"/>
      <c r="G11" s="7" t="s">
        <v>32</v>
      </c>
      <c r="H11" s="8">
        <v>5082</v>
      </c>
      <c r="I11" s="9">
        <v>8.2421057753126067E-2</v>
      </c>
      <c r="J11" s="8">
        <v>5889</v>
      </c>
      <c r="K11" s="9">
        <v>9.1564953743294722E-2</v>
      </c>
      <c r="N11" s="64" t="s">
        <v>33</v>
      </c>
      <c r="O11" s="65">
        <f>19435+13754+764+153+43+24+1+65</f>
        <v>34239</v>
      </c>
      <c r="P11" s="65">
        <v>34276</v>
      </c>
      <c r="Q11" s="66">
        <f t="shared" si="1"/>
        <v>1.080639037355063E-3</v>
      </c>
    </row>
    <row r="12" spans="1:17">
      <c r="A12" s="46" t="s">
        <v>34</v>
      </c>
      <c r="B12" s="42">
        <v>43333</v>
      </c>
      <c r="C12" s="16">
        <f>C7+C8-6982-1182</f>
        <v>43407</v>
      </c>
      <c r="D12" s="47">
        <f>(C12-B12)/B12</f>
        <v>1.70770544388803E-3</v>
      </c>
      <c r="H12" s="6"/>
      <c r="I12" s="9"/>
      <c r="J12" s="6"/>
      <c r="K12" s="9"/>
      <c r="N12" s="64" t="s">
        <v>35</v>
      </c>
      <c r="O12" s="65">
        <v>15</v>
      </c>
      <c r="P12" s="65">
        <v>26</v>
      </c>
      <c r="Q12" s="66">
        <f t="shared" si="1"/>
        <v>0.73333333333333328</v>
      </c>
    </row>
    <row r="13" spans="1:17">
      <c r="A13" s="13"/>
      <c r="B13" s="36" t="s">
        <v>14</v>
      </c>
      <c r="C13" s="34" t="s">
        <v>14</v>
      </c>
      <c r="D13" s="37"/>
      <c r="G13" s="7" t="s">
        <v>36</v>
      </c>
      <c r="H13" s="8">
        <v>8043</v>
      </c>
      <c r="I13" s="9">
        <v>0.13044324429523671</v>
      </c>
      <c r="J13" s="8">
        <v>8789</v>
      </c>
      <c r="K13" s="9">
        <v>0.13665552359480682</v>
      </c>
      <c r="N13" s="64" t="s">
        <v>37</v>
      </c>
      <c r="O13" s="65">
        <v>1612</v>
      </c>
      <c r="P13" s="65">
        <v>1990</v>
      </c>
      <c r="Q13" s="66">
        <f t="shared" si="1"/>
        <v>0.23449131513647642</v>
      </c>
    </row>
    <row r="14" spans="1:17">
      <c r="A14" s="34" t="s">
        <v>38</v>
      </c>
      <c r="B14" s="36" t="s">
        <v>108</v>
      </c>
      <c r="C14" s="3" t="s">
        <v>109</v>
      </c>
      <c r="D14" s="35" t="s">
        <v>10</v>
      </c>
      <c r="H14" s="6"/>
      <c r="I14" s="9"/>
      <c r="J14" s="6"/>
      <c r="K14" s="9"/>
      <c r="N14" s="64" t="s">
        <v>41</v>
      </c>
      <c r="O14" s="65">
        <f>2719+91+46</f>
        <v>2856</v>
      </c>
      <c r="P14" s="65">
        <v>3470</v>
      </c>
      <c r="Q14" s="66">
        <f t="shared" si="1"/>
        <v>0.21498599439775912</v>
      </c>
    </row>
    <row r="15" spans="1:17">
      <c r="A15" s="13" t="s">
        <v>43</v>
      </c>
      <c r="B15" s="38">
        <v>1432</v>
      </c>
      <c r="C15" s="53">
        <f>C16/16</f>
        <v>1570.5625</v>
      </c>
      <c r="D15" s="40">
        <f t="shared" ref="D15:D20" si="2">(C15-B15)/B15</f>
        <v>9.6761522346368714E-2</v>
      </c>
      <c r="G15" s="7" t="s">
        <v>42</v>
      </c>
      <c r="H15" s="8">
        <v>12554</v>
      </c>
      <c r="I15" s="9">
        <v>0.20360369126972541</v>
      </c>
      <c r="J15" s="8">
        <v>13528</v>
      </c>
      <c r="K15" s="9">
        <v>0.21033973412112261</v>
      </c>
      <c r="N15" s="64" t="s">
        <v>44</v>
      </c>
      <c r="O15" s="65">
        <v>40</v>
      </c>
      <c r="P15" s="65">
        <v>34</v>
      </c>
      <c r="Q15" s="66">
        <f t="shared" si="1"/>
        <v>-0.15</v>
      </c>
    </row>
    <row r="16" spans="1:17">
      <c r="A16" s="13" t="s">
        <v>45</v>
      </c>
      <c r="B16" s="38">
        <v>22907</v>
      </c>
      <c r="C16" s="53">
        <f>SUM(C17:C20)</f>
        <v>25129</v>
      </c>
      <c r="D16" s="40">
        <f t="shared" si="2"/>
        <v>9.7000916750338326E-2</v>
      </c>
      <c r="H16" s="8"/>
      <c r="I16" s="84"/>
      <c r="J16" s="8"/>
      <c r="K16" s="9"/>
      <c r="N16" s="64" t="s">
        <v>46</v>
      </c>
      <c r="O16" s="65">
        <f>4535+18</f>
        <v>4553</v>
      </c>
      <c r="P16" s="65">
        <v>5315</v>
      </c>
      <c r="Q16" s="66">
        <f t="shared" si="1"/>
        <v>0.16736217878321985</v>
      </c>
    </row>
    <row r="17" spans="1:17">
      <c r="A17" s="13" t="s">
        <v>48</v>
      </c>
      <c r="B17" s="38">
        <v>15825</v>
      </c>
      <c r="C17" s="53">
        <v>17708</v>
      </c>
      <c r="D17" s="40">
        <f t="shared" si="2"/>
        <v>0.11898894154818325</v>
      </c>
      <c r="G17" s="2" t="s">
        <v>47</v>
      </c>
      <c r="H17" s="10">
        <v>30257</v>
      </c>
      <c r="I17" s="85">
        <v>0.49099999999999999</v>
      </c>
      <c r="J17" s="10">
        <v>34257</v>
      </c>
      <c r="K17" s="11">
        <v>0.53264401772525849</v>
      </c>
      <c r="N17" s="64" t="s">
        <v>49</v>
      </c>
      <c r="O17" s="65">
        <v>13</v>
      </c>
      <c r="P17" s="65">
        <v>35</v>
      </c>
      <c r="Q17" s="66">
        <f t="shared" si="1"/>
        <v>1.6923076923076923</v>
      </c>
    </row>
    <row r="18" spans="1:17">
      <c r="A18" s="13" t="s">
        <v>25</v>
      </c>
      <c r="B18" s="44">
        <v>992</v>
      </c>
      <c r="C18" s="53">
        <v>1657</v>
      </c>
      <c r="D18" s="40">
        <f t="shared" si="2"/>
        <v>0.67036290322580649</v>
      </c>
      <c r="H18" s="6"/>
      <c r="I18" s="84"/>
      <c r="J18" s="6"/>
      <c r="K18" s="9"/>
      <c r="N18" s="64" t="s">
        <v>50</v>
      </c>
      <c r="O18" s="65">
        <v>35</v>
      </c>
      <c r="P18" s="65">
        <v>41</v>
      </c>
      <c r="Q18" s="66">
        <f t="shared" si="1"/>
        <v>0.17142857142857143</v>
      </c>
    </row>
    <row r="19" spans="1:17">
      <c r="A19" s="13" t="s">
        <v>28</v>
      </c>
      <c r="B19" s="38">
        <v>3938</v>
      </c>
      <c r="C19" s="53">
        <v>3451</v>
      </c>
      <c r="D19" s="40">
        <f t="shared" si="2"/>
        <v>-0.12366683595733875</v>
      </c>
      <c r="G19" s="7" t="s">
        <v>51</v>
      </c>
      <c r="H19" s="8">
        <v>5926</v>
      </c>
      <c r="I19" s="84">
        <v>9.6000000000000002E-2</v>
      </c>
      <c r="J19" s="8">
        <v>6208</v>
      </c>
      <c r="K19" s="9">
        <v>9.6524916426961052E-2</v>
      </c>
      <c r="N19" s="64" t="s">
        <v>52</v>
      </c>
      <c r="O19" s="65">
        <v>528</v>
      </c>
      <c r="P19" s="65">
        <v>777</v>
      </c>
      <c r="Q19" s="66">
        <f t="shared" si="1"/>
        <v>0.47159090909090912</v>
      </c>
    </row>
    <row r="20" spans="1:17">
      <c r="A20" s="13" t="s">
        <v>107</v>
      </c>
      <c r="B20" s="38">
        <v>2152</v>
      </c>
      <c r="C20" s="53">
        <v>2313</v>
      </c>
      <c r="D20" s="40">
        <f t="shared" si="2"/>
        <v>7.481412639405205E-2</v>
      </c>
      <c r="H20" s="6"/>
      <c r="I20" s="84"/>
      <c r="J20" s="6"/>
      <c r="K20" s="9"/>
      <c r="N20" s="64" t="s">
        <v>53</v>
      </c>
      <c r="O20" s="65">
        <v>4071</v>
      </c>
      <c r="P20" s="65">
        <v>306</v>
      </c>
      <c r="Q20" s="66">
        <f t="shared" si="1"/>
        <v>-0.924834193072955</v>
      </c>
    </row>
    <row r="21" spans="1:17">
      <c r="A21" s="13"/>
      <c r="B21" s="44" t="s">
        <v>14</v>
      </c>
      <c r="C21" s="13" t="s">
        <v>14</v>
      </c>
      <c r="D21" s="37"/>
      <c r="G21" s="7" t="s">
        <v>54</v>
      </c>
      <c r="H21" s="8">
        <v>1150</v>
      </c>
      <c r="I21" s="84">
        <v>1.9E-2</v>
      </c>
      <c r="J21" s="8">
        <v>1150</v>
      </c>
      <c r="K21" s="9">
        <v>1.7880743216978932E-2</v>
      </c>
      <c r="N21" s="64" t="s">
        <v>55</v>
      </c>
      <c r="O21" s="65">
        <v>555</v>
      </c>
      <c r="P21" s="65">
        <v>1011</v>
      </c>
      <c r="Q21" s="66">
        <f t="shared" si="1"/>
        <v>0.82162162162162167</v>
      </c>
    </row>
    <row r="22" spans="1:17">
      <c r="A22" s="34" t="s">
        <v>56</v>
      </c>
      <c r="B22" s="36" t="s">
        <v>110</v>
      </c>
      <c r="C22" s="34" t="s">
        <v>111</v>
      </c>
      <c r="D22" s="35" t="s">
        <v>10</v>
      </c>
      <c r="H22" s="6"/>
      <c r="I22" s="84"/>
      <c r="J22" s="6"/>
      <c r="K22" s="9"/>
      <c r="N22" s="64" t="s">
        <v>112</v>
      </c>
      <c r="O22" s="65">
        <f>3464+637+250+104+66+15+7</f>
        <v>4543</v>
      </c>
      <c r="P22" s="65">
        <v>7606</v>
      </c>
      <c r="Q22" s="66">
        <f t="shared" si="1"/>
        <v>0.67422408100374198</v>
      </c>
    </row>
    <row r="23" spans="1:17">
      <c r="A23" s="13" t="s">
        <v>43</v>
      </c>
      <c r="B23" s="38">
        <v>1692</v>
      </c>
      <c r="C23" s="39">
        <f>C24/16</f>
        <v>1488.3125</v>
      </c>
      <c r="D23" s="40">
        <f t="shared" ref="D23:D28" si="3">(C23-B23)/B23</f>
        <v>-0.12038268321513003</v>
      </c>
      <c r="G23" s="2" t="s">
        <v>59</v>
      </c>
      <c r="H23" s="10">
        <v>7076</v>
      </c>
      <c r="I23" s="85">
        <v>0.115</v>
      </c>
      <c r="J23" s="12">
        <v>7358</v>
      </c>
      <c r="K23" s="11">
        <v>0.11440565964393998</v>
      </c>
      <c r="N23" s="64" t="s">
        <v>60</v>
      </c>
      <c r="O23" s="65">
        <v>85</v>
      </c>
      <c r="P23" s="65">
        <v>187</v>
      </c>
      <c r="Q23" s="66">
        <f t="shared" si="1"/>
        <v>1.2</v>
      </c>
    </row>
    <row r="24" spans="1:17">
      <c r="A24" s="13" t="s">
        <v>45</v>
      </c>
      <c r="B24" s="38">
        <v>27064</v>
      </c>
      <c r="C24" s="39">
        <f>SUM(C25:C28)</f>
        <v>23813</v>
      </c>
      <c r="D24" s="40">
        <f t="shared" si="3"/>
        <v>-0.12012267218445168</v>
      </c>
      <c r="H24" s="6"/>
      <c r="I24" s="84"/>
      <c r="J24" s="6"/>
      <c r="K24" s="9"/>
      <c r="N24" s="64" t="s">
        <v>113</v>
      </c>
      <c r="O24" s="65">
        <v>35</v>
      </c>
      <c r="P24" s="65">
        <v>17</v>
      </c>
      <c r="Q24" s="66">
        <f t="shared" si="1"/>
        <v>-0.51428571428571423</v>
      </c>
    </row>
    <row r="25" spans="1:17">
      <c r="A25" s="13" t="s">
        <v>48</v>
      </c>
      <c r="B25" s="38">
        <v>20275</v>
      </c>
      <c r="C25" s="52">
        <v>17624</v>
      </c>
      <c r="D25" s="40">
        <f t="shared" si="3"/>
        <v>-0.1307521578298397</v>
      </c>
      <c r="G25" s="2" t="s">
        <v>62</v>
      </c>
      <c r="H25" s="10">
        <v>37333</v>
      </c>
      <c r="I25" s="85">
        <v>0.5804711187125865</v>
      </c>
      <c r="J25" s="10">
        <v>41615</v>
      </c>
      <c r="K25" s="11">
        <v>0.64704967736919849</v>
      </c>
      <c r="N25" s="64" t="s">
        <v>63</v>
      </c>
      <c r="O25" s="65">
        <v>25</v>
      </c>
      <c r="P25" s="65">
        <v>18</v>
      </c>
      <c r="Q25" s="66">
        <f t="shared" si="1"/>
        <v>-0.28000000000000003</v>
      </c>
    </row>
    <row r="26" spans="1:17">
      <c r="A26" s="13" t="s">
        <v>25</v>
      </c>
      <c r="B26" s="44">
        <v>936</v>
      </c>
      <c r="C26" s="52">
        <v>1174</v>
      </c>
      <c r="D26" s="40">
        <f t="shared" si="3"/>
        <v>0.25427350427350426</v>
      </c>
      <c r="H26" s="6"/>
      <c r="I26" s="84"/>
      <c r="J26" s="6"/>
      <c r="K26" s="9"/>
      <c r="N26" s="64" t="s">
        <v>141</v>
      </c>
      <c r="O26" s="65">
        <f>26+10+8+6+2+1</f>
        <v>53</v>
      </c>
      <c r="P26" s="65">
        <v>166</v>
      </c>
      <c r="Q26" s="66">
        <f>(P26-O26)/O26</f>
        <v>2.1320754716981134</v>
      </c>
    </row>
    <row r="27" spans="1:17" ht="60.75">
      <c r="A27" s="13" t="s">
        <v>28</v>
      </c>
      <c r="B27" s="38">
        <v>3853</v>
      </c>
      <c r="C27" s="53">
        <v>2819</v>
      </c>
      <c r="D27" s="40">
        <f t="shared" si="3"/>
        <v>-0.26836231507915909</v>
      </c>
      <c r="G27" s="7" t="s">
        <v>65</v>
      </c>
      <c r="H27" s="8">
        <v>13353</v>
      </c>
      <c r="I27" s="84">
        <v>0.217</v>
      </c>
      <c r="J27" s="8">
        <v>10503</v>
      </c>
      <c r="K27" s="9">
        <v>0.16330560522428672</v>
      </c>
      <c r="N27" s="70" t="s">
        <v>66</v>
      </c>
      <c r="O27" s="71">
        <f>178+106+30+14+31+10+5+1</f>
        <v>375</v>
      </c>
      <c r="P27" s="71">
        <v>423</v>
      </c>
      <c r="Q27" s="72">
        <f t="shared" si="1"/>
        <v>0.128</v>
      </c>
    </row>
    <row r="28" spans="1:17">
      <c r="A28" s="13" t="s">
        <v>107</v>
      </c>
      <c r="B28" s="38">
        <v>2000</v>
      </c>
      <c r="C28" s="52">
        <v>2196</v>
      </c>
      <c r="D28" s="40">
        <f t="shared" si="3"/>
        <v>9.8000000000000004E-2</v>
      </c>
      <c r="G28" s="7"/>
      <c r="H28" s="8"/>
      <c r="I28" s="84"/>
      <c r="J28" s="8"/>
      <c r="K28" s="9"/>
      <c r="N28" s="64" t="s">
        <v>67</v>
      </c>
      <c r="O28" s="65">
        <f>376+323+90+71+42+37+2+2</f>
        <v>943</v>
      </c>
      <c r="P28" s="65">
        <v>779</v>
      </c>
      <c r="Q28" s="66">
        <f t="shared" si="1"/>
        <v>-0.17391304347826086</v>
      </c>
    </row>
    <row r="29" spans="1:17">
      <c r="A29" s="13"/>
      <c r="B29" s="44" t="s">
        <v>14</v>
      </c>
      <c r="C29" s="13" t="s">
        <v>14</v>
      </c>
      <c r="D29" s="37"/>
      <c r="G29" s="7" t="s">
        <v>142</v>
      </c>
      <c r="H29" s="8">
        <v>3482</v>
      </c>
      <c r="I29" s="84">
        <v>5.6000000000000001E-2</v>
      </c>
      <c r="J29" s="8">
        <v>3370</v>
      </c>
      <c r="K29" s="9">
        <v>5.2398351861929565E-2</v>
      </c>
      <c r="N29" s="64" t="s">
        <v>115</v>
      </c>
      <c r="O29" s="65">
        <f>971+165+101+41+22+20+19+17+13+6+4</f>
        <v>1379</v>
      </c>
      <c r="P29" s="65">
        <v>1327</v>
      </c>
      <c r="Q29" s="66">
        <f t="shared" si="1"/>
        <v>-3.7708484408992021E-2</v>
      </c>
    </row>
    <row r="30" spans="1:17">
      <c r="A30" s="34" t="s">
        <v>70</v>
      </c>
      <c r="B30" s="36" t="s">
        <v>116</v>
      </c>
      <c r="C30" s="34" t="s">
        <v>117</v>
      </c>
      <c r="D30" s="35" t="s">
        <v>10</v>
      </c>
      <c r="H30" s="6"/>
      <c r="I30" s="84"/>
      <c r="J30" s="6"/>
      <c r="K30" s="9"/>
      <c r="N30" s="74"/>
      <c r="O30" s="75"/>
      <c r="P30" s="75"/>
      <c r="Q30" s="76"/>
    </row>
    <row r="31" spans="1:17" ht="15.75">
      <c r="A31" s="13" t="s">
        <v>43</v>
      </c>
      <c r="B31" s="38">
        <v>1009</v>
      </c>
      <c r="C31" s="53">
        <f>C32/8</f>
        <v>1054.5</v>
      </c>
      <c r="D31" s="40">
        <f t="shared" ref="D31:D36" si="4">(C31-B31)/B31</f>
        <v>4.5094152626362738E-2</v>
      </c>
      <c r="G31" s="7" t="s">
        <v>118</v>
      </c>
      <c r="H31" s="8">
        <v>7491</v>
      </c>
      <c r="I31" s="84">
        <v>0.12</v>
      </c>
      <c r="J31" s="8">
        <v>8827</v>
      </c>
      <c r="K31" s="9">
        <v>0.13724636554458525</v>
      </c>
      <c r="N31" s="77" t="s">
        <v>74</v>
      </c>
      <c r="O31" s="65">
        <f>SUM(O6:O29)</f>
        <v>61659</v>
      </c>
      <c r="P31" s="65">
        <f>SUM(P6:P29)</f>
        <v>64315</v>
      </c>
      <c r="Q31" s="66">
        <f>(P31-O31)/O31</f>
        <v>4.3075625618320117E-2</v>
      </c>
    </row>
    <row r="32" spans="1:17" ht="15.75">
      <c r="A32" s="13" t="s">
        <v>75</v>
      </c>
      <c r="B32" s="38">
        <v>8072</v>
      </c>
      <c r="C32" s="53">
        <f>SUM(C33:C36)</f>
        <v>8436</v>
      </c>
      <c r="D32" s="40">
        <f t="shared" si="4"/>
        <v>4.5094152626362738E-2</v>
      </c>
      <c r="G32" s="2"/>
      <c r="H32" s="86"/>
      <c r="I32" s="86"/>
      <c r="J32" s="5"/>
      <c r="K32" s="5"/>
      <c r="N32" s="78"/>
      <c r="O32" s="78"/>
      <c r="P32" s="78"/>
      <c r="Q32" s="79"/>
    </row>
    <row r="33" spans="1:18">
      <c r="A33" s="13" t="s">
        <v>48</v>
      </c>
      <c r="B33" s="38">
        <v>6607</v>
      </c>
      <c r="C33" s="53">
        <v>7235</v>
      </c>
      <c r="D33" s="40">
        <f t="shared" si="4"/>
        <v>9.505070379900106E-2</v>
      </c>
      <c r="H33" s="87"/>
      <c r="I33" s="87"/>
      <c r="J33" s="6"/>
      <c r="K33" s="6"/>
      <c r="N33" s="203" t="s">
        <v>143</v>
      </c>
      <c r="O33" s="226"/>
      <c r="P33" s="226"/>
      <c r="Q33" s="226"/>
      <c r="R33" s="226"/>
    </row>
    <row r="34" spans="1:18">
      <c r="A34" s="13" t="s">
        <v>25</v>
      </c>
      <c r="B34" s="44">
        <v>137</v>
      </c>
      <c r="C34">
        <v>122</v>
      </c>
      <c r="D34" s="40">
        <f t="shared" si="4"/>
        <v>-0.10948905109489052</v>
      </c>
      <c r="G34" s="3" t="s">
        <v>76</v>
      </c>
      <c r="H34" s="14">
        <v>61659</v>
      </c>
      <c r="I34" s="88">
        <v>1</v>
      </c>
      <c r="J34" s="14">
        <v>64315</v>
      </c>
      <c r="K34" s="15">
        <v>1</v>
      </c>
      <c r="N34" t="s">
        <v>144</v>
      </c>
    </row>
    <row r="35" spans="1:18">
      <c r="A35" s="13" t="s">
        <v>28</v>
      </c>
      <c r="B35" s="44">
        <v>911</v>
      </c>
      <c r="C35">
        <v>618</v>
      </c>
      <c r="D35" s="40">
        <f t="shared" si="4"/>
        <v>-0.32162458836443469</v>
      </c>
      <c r="G35" s="2"/>
      <c r="H35" s="2"/>
      <c r="I35" s="2"/>
      <c r="J35" s="16"/>
      <c r="K35" s="17"/>
      <c r="N35" s="83" t="s">
        <v>121</v>
      </c>
      <c r="O35" s="64"/>
      <c r="P35" s="64"/>
      <c r="Q35" s="64"/>
    </row>
    <row r="36" spans="1:18">
      <c r="A36" s="13" t="s">
        <v>107</v>
      </c>
      <c r="B36" s="44">
        <v>417</v>
      </c>
      <c r="C36">
        <v>461</v>
      </c>
      <c r="D36" s="40">
        <f t="shared" si="4"/>
        <v>0.10551558752997602</v>
      </c>
      <c r="N36" s="83" t="s">
        <v>122</v>
      </c>
      <c r="O36" s="64"/>
      <c r="P36" s="64"/>
      <c r="Q36" s="64"/>
    </row>
    <row r="37" spans="1:18">
      <c r="A37" s="13"/>
      <c r="B37" s="44" t="s">
        <v>14</v>
      </c>
      <c r="C37" s="13" t="s">
        <v>14</v>
      </c>
      <c r="D37" s="37"/>
      <c r="G37" s="18" t="s">
        <v>145</v>
      </c>
      <c r="H37" s="19"/>
      <c r="I37" s="19"/>
      <c r="J37" s="19"/>
      <c r="K37" s="19"/>
      <c r="N37" s="83" t="s">
        <v>124</v>
      </c>
      <c r="O37" s="64"/>
      <c r="P37" s="64"/>
      <c r="Q37" s="64"/>
    </row>
    <row r="38" spans="1:18">
      <c r="A38" s="34" t="s">
        <v>82</v>
      </c>
      <c r="B38" s="36" t="s">
        <v>125</v>
      </c>
      <c r="C38" s="34" t="s">
        <v>126</v>
      </c>
      <c r="D38" s="35" t="s">
        <v>10</v>
      </c>
      <c r="G38" s="203" t="s">
        <v>146</v>
      </c>
      <c r="H38" s="226"/>
      <c r="I38" s="226"/>
      <c r="J38" s="226"/>
      <c r="K38" s="226"/>
      <c r="N38" s="83" t="s">
        <v>128</v>
      </c>
      <c r="O38" s="64"/>
      <c r="P38" s="64"/>
      <c r="Q38" s="64"/>
    </row>
    <row r="39" spans="1:18">
      <c r="A39" s="13" t="s">
        <v>43</v>
      </c>
      <c r="B39" s="44">
        <v>951</v>
      </c>
      <c r="C39" s="53">
        <f>C40/8</f>
        <v>867.125</v>
      </c>
      <c r="D39" s="40">
        <f t="shared" ref="D39:D44" si="5">(C39-B39)/B39</f>
        <v>-8.8196635120925349E-2</v>
      </c>
      <c r="G39" s="206" t="s">
        <v>147</v>
      </c>
      <c r="H39" s="206"/>
      <c r="I39" s="206"/>
      <c r="J39" s="206"/>
      <c r="K39" s="206"/>
      <c r="N39" s="64"/>
      <c r="O39" s="64"/>
      <c r="P39" s="64"/>
      <c r="Q39" s="64"/>
    </row>
    <row r="40" spans="1:18">
      <c r="A40" s="13" t="s">
        <v>89</v>
      </c>
      <c r="B40" s="38">
        <v>7604</v>
      </c>
      <c r="C40" s="53">
        <f>SUM(C41:C44)</f>
        <v>6937</v>
      </c>
      <c r="D40" s="40">
        <f t="shared" si="5"/>
        <v>-8.7716991057338239E-2</v>
      </c>
    </row>
    <row r="41" spans="1:18">
      <c r="A41" s="13" t="s">
        <v>48</v>
      </c>
      <c r="B41" s="38">
        <v>6028</v>
      </c>
      <c r="C41" s="53">
        <v>5417</v>
      </c>
      <c r="D41" s="40">
        <f t="shared" si="5"/>
        <v>-0.10136031851360318</v>
      </c>
    </row>
    <row r="42" spans="1:18">
      <c r="A42" s="13" t="s">
        <v>25</v>
      </c>
      <c r="B42" s="44">
        <v>488</v>
      </c>
      <c r="C42">
        <v>634</v>
      </c>
      <c r="D42" s="40">
        <f t="shared" si="5"/>
        <v>0.29918032786885246</v>
      </c>
    </row>
    <row r="43" spans="1:18">
      <c r="A43" s="13" t="s">
        <v>28</v>
      </c>
      <c r="B43" s="44">
        <v>611</v>
      </c>
      <c r="C43">
        <v>500</v>
      </c>
      <c r="D43" s="40">
        <f t="shared" si="5"/>
        <v>-0.18166939443535188</v>
      </c>
    </row>
    <row r="44" spans="1:18">
      <c r="A44" s="13" t="s">
        <v>107</v>
      </c>
      <c r="B44" s="44">
        <v>477</v>
      </c>
      <c r="C44">
        <v>386</v>
      </c>
      <c r="D44" s="40">
        <f t="shared" si="5"/>
        <v>-0.19077568134171907</v>
      </c>
    </row>
    <row r="45" spans="1:18">
      <c r="A45" s="41"/>
      <c r="B45" s="41"/>
      <c r="C45" s="41"/>
      <c r="D45" s="58"/>
    </row>
    <row r="46" spans="1:18">
      <c r="A46" s="204" t="s">
        <v>129</v>
      </c>
      <c r="B46" s="204"/>
      <c r="C46" s="204"/>
      <c r="D46" s="204"/>
    </row>
    <row r="47" spans="1:18">
      <c r="A47" s="205" t="s">
        <v>148</v>
      </c>
      <c r="B47" s="205"/>
      <c r="C47" s="205"/>
      <c r="D47" s="205"/>
    </row>
  </sheetData>
  <mergeCells count="12">
    <mergeCell ref="N1:Q1"/>
    <mergeCell ref="N2:Q2"/>
    <mergeCell ref="N3:Q3"/>
    <mergeCell ref="N33:R33"/>
    <mergeCell ref="A1:D1"/>
    <mergeCell ref="A2:D2"/>
    <mergeCell ref="A46:D46"/>
    <mergeCell ref="A47:D47"/>
    <mergeCell ref="G1:K1"/>
    <mergeCell ref="G2:K2"/>
    <mergeCell ref="G38:K38"/>
    <mergeCell ref="G39:K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F5393-E02A-4882-B944-CAE4363A5F6C}">
  <dimension ref="A1:P47"/>
  <sheetViews>
    <sheetView workbookViewId="0">
      <selection activeCell="M1" sqref="M1"/>
    </sheetView>
  </sheetViews>
  <sheetFormatPr defaultRowHeight="15"/>
  <cols>
    <col min="7" max="7" width="94.28515625" bestFit="1" customWidth="1"/>
  </cols>
  <sheetData>
    <row r="1" spans="1:16" ht="21">
      <c r="A1" s="200" t="s">
        <v>94</v>
      </c>
      <c r="B1" s="200"/>
      <c r="C1" s="200"/>
      <c r="D1" s="89"/>
      <c r="G1" s="210" t="s">
        <v>96</v>
      </c>
      <c r="H1" s="211"/>
      <c r="I1" s="211"/>
      <c r="J1" s="211"/>
      <c r="L1" s="213" t="s">
        <v>95</v>
      </c>
      <c r="M1" s="213"/>
      <c r="N1" s="213"/>
      <c r="O1" s="213"/>
      <c r="P1" s="213"/>
    </row>
    <row r="2" spans="1:16" ht="15.75">
      <c r="A2" s="200" t="s">
        <v>149</v>
      </c>
      <c r="B2" s="200"/>
      <c r="C2" s="200"/>
      <c r="D2" s="89"/>
      <c r="G2" s="212" t="s">
        <v>5</v>
      </c>
      <c r="H2" s="212"/>
      <c r="I2" s="212"/>
      <c r="J2" s="212"/>
      <c r="L2" s="214" t="s">
        <v>150</v>
      </c>
      <c r="M2" s="214"/>
      <c r="N2" s="214"/>
      <c r="O2" s="214"/>
      <c r="P2" s="214"/>
    </row>
    <row r="3" spans="1:16" ht="15.75">
      <c r="A3" s="13"/>
      <c r="B3" s="13"/>
      <c r="C3" s="13"/>
      <c r="D3" s="13"/>
      <c r="G3" s="218" t="s">
        <v>151</v>
      </c>
      <c r="H3" s="218"/>
      <c r="I3" s="218"/>
      <c r="J3" s="218"/>
      <c r="L3" s="2"/>
      <c r="M3" s="2"/>
      <c r="N3" s="2"/>
      <c r="O3" s="2"/>
      <c r="P3" s="2"/>
    </row>
    <row r="4" spans="1:16" ht="15.75">
      <c r="A4" s="13" t="s">
        <v>7</v>
      </c>
      <c r="B4" s="36" t="s">
        <v>152</v>
      </c>
      <c r="C4" s="90" t="s">
        <v>153</v>
      </c>
      <c r="D4" s="34" t="s">
        <v>10</v>
      </c>
      <c r="G4" s="98"/>
      <c r="H4" s="98"/>
      <c r="I4" s="98"/>
      <c r="J4" s="98"/>
    </row>
    <row r="5" spans="1:16" ht="16.5">
      <c r="A5" s="13"/>
      <c r="B5" s="36" t="s">
        <v>14</v>
      </c>
      <c r="C5" s="90" t="s">
        <v>14</v>
      </c>
      <c r="D5" s="13"/>
      <c r="G5" s="99" t="s">
        <v>15</v>
      </c>
      <c r="H5" s="100" t="s">
        <v>154</v>
      </c>
      <c r="I5" s="100" t="s">
        <v>155</v>
      </c>
      <c r="J5" s="100" t="s">
        <v>10</v>
      </c>
      <c r="L5" s="115" t="s">
        <v>11</v>
      </c>
      <c r="M5" s="114" t="s">
        <v>12</v>
      </c>
      <c r="N5" s="114" t="s">
        <v>13</v>
      </c>
      <c r="O5" s="114" t="s">
        <v>12</v>
      </c>
      <c r="P5" s="114" t="s">
        <v>13</v>
      </c>
    </row>
    <row r="6" spans="1:16">
      <c r="A6" s="34" t="s">
        <v>21</v>
      </c>
      <c r="B6" s="38">
        <v>86065</v>
      </c>
      <c r="C6" s="91">
        <v>61659</v>
      </c>
      <c r="D6" s="55">
        <v>-0.28000000000000003</v>
      </c>
      <c r="G6" s="67" t="s">
        <v>22</v>
      </c>
      <c r="H6" s="67">
        <v>496</v>
      </c>
      <c r="I6" s="67">
        <v>263</v>
      </c>
      <c r="J6" s="101">
        <v>-0.47</v>
      </c>
      <c r="L6" s="115"/>
      <c r="M6" s="116" t="s">
        <v>156</v>
      </c>
      <c r="N6" s="116" t="s">
        <v>19</v>
      </c>
      <c r="O6" s="116" t="s">
        <v>157</v>
      </c>
      <c r="P6" s="116" t="s">
        <v>19</v>
      </c>
    </row>
    <row r="7" spans="1:16">
      <c r="A7" s="13" t="s">
        <v>23</v>
      </c>
      <c r="B7" s="38">
        <v>60516</v>
      </c>
      <c r="C7" s="92">
        <v>45702</v>
      </c>
      <c r="D7" s="55">
        <v>-0.24</v>
      </c>
      <c r="G7" s="67" t="s">
        <v>104</v>
      </c>
      <c r="H7" s="102">
        <v>8996</v>
      </c>
      <c r="I7" s="102">
        <v>2816</v>
      </c>
      <c r="J7" s="101">
        <v>-0.69</v>
      </c>
      <c r="L7" s="2"/>
      <c r="M7" s="5"/>
      <c r="N7" s="5"/>
      <c r="O7" s="5"/>
      <c r="P7" s="5"/>
    </row>
    <row r="8" spans="1:16">
      <c r="A8" s="13" t="s">
        <v>25</v>
      </c>
      <c r="B8" s="38">
        <v>8432</v>
      </c>
      <c r="C8" s="92">
        <v>2435</v>
      </c>
      <c r="D8" s="55">
        <v>-0.71</v>
      </c>
      <c r="G8" s="67" t="s">
        <v>105</v>
      </c>
      <c r="H8" s="102">
        <v>3836</v>
      </c>
      <c r="I8" s="102">
        <v>2329</v>
      </c>
      <c r="J8" s="101">
        <v>-0.39</v>
      </c>
      <c r="M8" s="6"/>
      <c r="N8" s="6"/>
      <c r="O8" s="6"/>
      <c r="P8" s="6"/>
    </row>
    <row r="9" spans="1:16">
      <c r="A9" s="13" t="s">
        <v>28</v>
      </c>
      <c r="B9" s="93">
        <v>7399</v>
      </c>
      <c r="C9" s="38">
        <v>8795</v>
      </c>
      <c r="D9" s="55">
        <v>0.19</v>
      </c>
      <c r="G9" s="67" t="s">
        <v>29</v>
      </c>
      <c r="H9" s="67">
        <v>263</v>
      </c>
      <c r="I9" s="67">
        <v>212</v>
      </c>
      <c r="J9" s="101">
        <v>-0.19</v>
      </c>
      <c r="L9" s="7" t="s">
        <v>27</v>
      </c>
      <c r="M9" s="117">
        <v>8280</v>
      </c>
      <c r="N9" s="118">
        <v>0.1</v>
      </c>
      <c r="O9" s="117">
        <v>4578</v>
      </c>
      <c r="P9" s="119">
        <v>7.3999999999999996E-2</v>
      </c>
    </row>
    <row r="10" spans="1:16">
      <c r="A10" s="41" t="s">
        <v>107</v>
      </c>
      <c r="B10" s="42">
        <v>9718</v>
      </c>
      <c r="C10" s="94">
        <v>4727</v>
      </c>
      <c r="D10" s="58">
        <v>-0.51</v>
      </c>
      <c r="G10" s="67" t="s">
        <v>31</v>
      </c>
      <c r="H10" s="67">
        <v>74</v>
      </c>
      <c r="I10" s="67">
        <v>84</v>
      </c>
      <c r="J10" s="101">
        <v>0.14000000000000001</v>
      </c>
      <c r="M10" s="120"/>
      <c r="N10" s="120"/>
      <c r="O10" s="120"/>
      <c r="P10" s="119"/>
    </row>
    <row r="11" spans="1:16">
      <c r="A11" s="13"/>
      <c r="B11" s="44" t="s">
        <v>14</v>
      </c>
      <c r="C11" s="95" t="s">
        <v>14</v>
      </c>
      <c r="D11" s="13"/>
      <c r="G11" s="67" t="s">
        <v>33</v>
      </c>
      <c r="H11" s="102">
        <v>41391</v>
      </c>
      <c r="I11" s="102">
        <v>34239</v>
      </c>
      <c r="J11" s="101">
        <v>-0.17</v>
      </c>
      <c r="L11" s="7" t="s">
        <v>32</v>
      </c>
      <c r="M11" s="117">
        <v>9065</v>
      </c>
      <c r="N11" s="118">
        <v>0.11</v>
      </c>
      <c r="O11" s="117">
        <v>5082</v>
      </c>
      <c r="P11" s="119">
        <v>8.2000000000000003E-2</v>
      </c>
    </row>
    <row r="12" spans="1:16">
      <c r="A12" s="46" t="s">
        <v>158</v>
      </c>
      <c r="B12" s="96" t="s">
        <v>14</v>
      </c>
      <c r="C12" s="97">
        <v>43333</v>
      </c>
      <c r="D12" s="41"/>
      <c r="G12" s="67" t="s">
        <v>35</v>
      </c>
      <c r="H12" s="67">
        <v>50</v>
      </c>
      <c r="I12" s="67">
        <v>15</v>
      </c>
      <c r="J12" s="101">
        <v>-0.7</v>
      </c>
      <c r="M12" s="120"/>
      <c r="N12" s="120"/>
      <c r="O12" s="120"/>
      <c r="P12" s="119"/>
    </row>
    <row r="13" spans="1:16">
      <c r="A13" s="13"/>
      <c r="B13" s="36" t="s">
        <v>14</v>
      </c>
      <c r="C13" s="90" t="s">
        <v>14</v>
      </c>
      <c r="D13" s="13"/>
      <c r="G13" s="67" t="s">
        <v>37</v>
      </c>
      <c r="H13" s="102">
        <v>1961</v>
      </c>
      <c r="I13" s="102">
        <v>1612</v>
      </c>
      <c r="J13" s="101">
        <v>-0.18</v>
      </c>
      <c r="L13" s="7" t="s">
        <v>36</v>
      </c>
      <c r="M13" s="117">
        <v>13324</v>
      </c>
      <c r="N13" s="118">
        <v>0.15</v>
      </c>
      <c r="O13" s="117">
        <v>8043</v>
      </c>
      <c r="P13" s="119">
        <v>0.13</v>
      </c>
    </row>
    <row r="14" spans="1:16">
      <c r="A14" s="34" t="s">
        <v>38</v>
      </c>
      <c r="B14" s="36" t="s">
        <v>159</v>
      </c>
      <c r="C14" s="90" t="s">
        <v>160</v>
      </c>
      <c r="D14" s="34" t="s">
        <v>10</v>
      </c>
      <c r="G14" s="67" t="s">
        <v>41</v>
      </c>
      <c r="H14" s="102">
        <v>4724</v>
      </c>
      <c r="I14" s="102">
        <v>2856</v>
      </c>
      <c r="J14" s="101">
        <v>-0.4</v>
      </c>
      <c r="M14" s="120"/>
      <c r="N14" s="120"/>
      <c r="O14" s="120"/>
      <c r="P14" s="119"/>
    </row>
    <row r="15" spans="1:16">
      <c r="A15" s="13" t="s">
        <v>43</v>
      </c>
      <c r="B15" s="38">
        <v>2778</v>
      </c>
      <c r="C15" s="91">
        <v>1432</v>
      </c>
      <c r="D15" s="13"/>
      <c r="G15" s="67" t="s">
        <v>44</v>
      </c>
      <c r="H15" s="67">
        <v>174</v>
      </c>
      <c r="I15" s="67">
        <v>40</v>
      </c>
      <c r="J15" s="101">
        <v>-0.77</v>
      </c>
      <c r="L15" s="7" t="s">
        <v>161</v>
      </c>
      <c r="M15" s="117">
        <v>20728</v>
      </c>
      <c r="N15" s="118">
        <v>0.24</v>
      </c>
      <c r="O15" s="117">
        <v>12554</v>
      </c>
      <c r="P15" s="119">
        <v>0.20399999999999999</v>
      </c>
    </row>
    <row r="16" spans="1:16">
      <c r="A16" s="13" t="s">
        <v>45</v>
      </c>
      <c r="B16" s="38">
        <v>44446</v>
      </c>
      <c r="C16" s="91">
        <v>22907</v>
      </c>
      <c r="D16" s="55">
        <v>-0.48</v>
      </c>
      <c r="G16" s="67" t="s">
        <v>162</v>
      </c>
      <c r="H16" s="102">
        <v>9698</v>
      </c>
      <c r="I16" s="102">
        <v>4553</v>
      </c>
      <c r="J16" s="101">
        <v>-0.53</v>
      </c>
      <c r="M16" s="120"/>
      <c r="N16" s="120"/>
      <c r="O16" s="120"/>
      <c r="P16" s="120"/>
    </row>
    <row r="17" spans="1:16">
      <c r="A17" s="13" t="s">
        <v>48</v>
      </c>
      <c r="B17" s="38">
        <v>29067</v>
      </c>
      <c r="C17" s="91">
        <v>15825</v>
      </c>
      <c r="D17" s="55">
        <v>-0.46</v>
      </c>
      <c r="G17" s="67" t="s">
        <v>49</v>
      </c>
      <c r="H17" s="67">
        <v>52</v>
      </c>
      <c r="I17" s="67">
        <v>13</v>
      </c>
      <c r="J17" s="101">
        <v>-0.75</v>
      </c>
      <c r="L17" s="2" t="s">
        <v>47</v>
      </c>
      <c r="M17" s="121">
        <v>51397</v>
      </c>
      <c r="N17" s="122">
        <v>0.6</v>
      </c>
      <c r="O17" s="121">
        <v>30257</v>
      </c>
      <c r="P17" s="122">
        <v>0.49</v>
      </c>
    </row>
    <row r="18" spans="1:16">
      <c r="A18" s="13" t="s">
        <v>25</v>
      </c>
      <c r="B18" s="38">
        <v>4810</v>
      </c>
      <c r="C18" s="95">
        <v>992</v>
      </c>
      <c r="D18" s="55">
        <v>-0.79</v>
      </c>
      <c r="G18" s="67" t="s">
        <v>50</v>
      </c>
      <c r="H18" s="67">
        <v>103</v>
      </c>
      <c r="I18" s="67">
        <v>35</v>
      </c>
      <c r="J18" s="101">
        <v>-0.66</v>
      </c>
      <c r="M18" s="6"/>
      <c r="N18" s="84"/>
      <c r="O18" s="6"/>
      <c r="P18" s="84"/>
    </row>
    <row r="19" spans="1:16">
      <c r="A19" s="13" t="s">
        <v>28</v>
      </c>
      <c r="B19" s="38">
        <v>4367</v>
      </c>
      <c r="C19" s="91">
        <v>3938</v>
      </c>
      <c r="D19" s="55">
        <v>-0.1</v>
      </c>
      <c r="G19" s="67" t="s">
        <v>52</v>
      </c>
      <c r="H19" s="67">
        <v>921</v>
      </c>
      <c r="I19" s="67">
        <v>528</v>
      </c>
      <c r="J19" s="101">
        <v>-0.43</v>
      </c>
      <c r="L19" s="7" t="s">
        <v>51</v>
      </c>
      <c r="M19" s="117">
        <v>7134</v>
      </c>
      <c r="N19" s="118">
        <v>0.08</v>
      </c>
      <c r="O19" s="117">
        <v>5926</v>
      </c>
      <c r="P19" s="118">
        <v>0.1</v>
      </c>
    </row>
    <row r="20" spans="1:16">
      <c r="A20" s="13" t="s">
        <v>107</v>
      </c>
      <c r="B20" s="38">
        <v>6202</v>
      </c>
      <c r="C20" s="91">
        <v>2152</v>
      </c>
      <c r="D20" s="55">
        <v>-0.65</v>
      </c>
      <c r="G20" s="67" t="s">
        <v>163</v>
      </c>
      <c r="H20" s="67">
        <v>363</v>
      </c>
      <c r="I20" s="102">
        <v>4071</v>
      </c>
      <c r="J20" s="101">
        <v>10.210000000000001</v>
      </c>
      <c r="M20" s="120"/>
      <c r="N20" s="120"/>
      <c r="O20" s="120"/>
      <c r="P20" s="120"/>
    </row>
    <row r="21" spans="1:16">
      <c r="A21" s="13"/>
      <c r="B21" s="44" t="s">
        <v>14</v>
      </c>
      <c r="C21" s="95" t="s">
        <v>14</v>
      </c>
      <c r="D21" s="13"/>
      <c r="G21" s="67" t="s">
        <v>55</v>
      </c>
      <c r="H21" s="67">
        <v>525</v>
      </c>
      <c r="I21" s="67">
        <v>555</v>
      </c>
      <c r="J21" s="101">
        <v>0.06</v>
      </c>
      <c r="L21" s="7" t="s">
        <v>54</v>
      </c>
      <c r="M21" s="117">
        <v>1254</v>
      </c>
      <c r="N21" s="118">
        <v>0.01</v>
      </c>
      <c r="O21" s="117">
        <v>1150</v>
      </c>
      <c r="P21" s="118">
        <v>0.02</v>
      </c>
    </row>
    <row r="22" spans="1:16">
      <c r="A22" s="34" t="s">
        <v>56</v>
      </c>
      <c r="B22" s="36" t="s">
        <v>164</v>
      </c>
      <c r="C22" s="90" t="s">
        <v>165</v>
      </c>
      <c r="D22" s="34" t="s">
        <v>10</v>
      </c>
      <c r="G22" s="67" t="s">
        <v>166</v>
      </c>
      <c r="H22" s="102">
        <v>7881</v>
      </c>
      <c r="I22" s="102">
        <v>4543</v>
      </c>
      <c r="J22" s="101">
        <v>-0.42</v>
      </c>
      <c r="M22" s="6"/>
      <c r="N22" s="84"/>
      <c r="O22" s="6"/>
      <c r="P22" s="84"/>
    </row>
    <row r="23" spans="1:16">
      <c r="A23" s="13" t="s">
        <v>43</v>
      </c>
      <c r="B23" s="38">
        <v>1868</v>
      </c>
      <c r="C23" s="91">
        <v>1692</v>
      </c>
      <c r="D23" s="13"/>
      <c r="G23" s="67" t="s">
        <v>60</v>
      </c>
      <c r="H23" s="67">
        <v>236</v>
      </c>
      <c r="I23" s="67">
        <v>85</v>
      </c>
      <c r="J23" s="101">
        <v>-0.64</v>
      </c>
      <c r="L23" s="2" t="s">
        <v>59</v>
      </c>
      <c r="M23" s="121">
        <v>8388</v>
      </c>
      <c r="N23" s="122">
        <v>0.1</v>
      </c>
      <c r="O23" s="121">
        <v>7076</v>
      </c>
      <c r="P23" s="122">
        <v>0.12</v>
      </c>
    </row>
    <row r="24" spans="1:16">
      <c r="A24" s="13" t="s">
        <v>45</v>
      </c>
      <c r="B24" s="38">
        <v>29893</v>
      </c>
      <c r="C24" s="91">
        <v>27064</v>
      </c>
      <c r="D24" s="55">
        <v>-0.09</v>
      </c>
      <c r="G24" s="67" t="s">
        <v>113</v>
      </c>
      <c r="H24" s="67">
        <v>45</v>
      </c>
      <c r="I24" s="67">
        <v>35</v>
      </c>
      <c r="J24" s="101">
        <v>-0.22</v>
      </c>
      <c r="M24" s="6"/>
      <c r="N24" s="84"/>
      <c r="O24" s="6"/>
      <c r="P24" s="84"/>
    </row>
    <row r="25" spans="1:16">
      <c r="A25" s="13" t="s">
        <v>48</v>
      </c>
      <c r="B25" s="38">
        <v>21656</v>
      </c>
      <c r="C25" s="91">
        <v>20275</v>
      </c>
      <c r="D25" s="55">
        <v>-0.06</v>
      </c>
      <c r="G25" s="67" t="s">
        <v>63</v>
      </c>
      <c r="H25" s="67">
        <v>29</v>
      </c>
      <c r="I25" s="67">
        <v>25</v>
      </c>
      <c r="J25" s="101">
        <v>-0.14000000000000001</v>
      </c>
      <c r="L25" s="2" t="s">
        <v>62</v>
      </c>
      <c r="M25" s="121">
        <v>59785</v>
      </c>
      <c r="N25" s="122">
        <v>0.69</v>
      </c>
      <c r="O25" s="121">
        <v>37333</v>
      </c>
      <c r="P25" s="122">
        <v>0.61</v>
      </c>
    </row>
    <row r="26" spans="1:16">
      <c r="A26" s="13" t="s">
        <v>25</v>
      </c>
      <c r="B26" s="38">
        <v>3225</v>
      </c>
      <c r="C26" s="95">
        <v>936</v>
      </c>
      <c r="D26" s="55">
        <v>-0.71</v>
      </c>
      <c r="G26" s="67" t="s">
        <v>167</v>
      </c>
      <c r="H26" s="67">
        <v>233</v>
      </c>
      <c r="I26" s="67">
        <v>53</v>
      </c>
      <c r="J26" s="101">
        <v>-0.77</v>
      </c>
      <c r="M26" s="6"/>
      <c r="N26" s="84"/>
      <c r="O26" s="6"/>
      <c r="P26" s="84"/>
    </row>
    <row r="27" spans="1:16">
      <c r="A27" s="13" t="s">
        <v>28</v>
      </c>
      <c r="B27" s="38">
        <v>2103</v>
      </c>
      <c r="C27" s="91">
        <v>3853</v>
      </c>
      <c r="D27" s="55">
        <v>0.83</v>
      </c>
      <c r="G27" s="103" t="s">
        <v>66</v>
      </c>
      <c r="H27" s="104">
        <v>306</v>
      </c>
      <c r="I27" s="104">
        <v>375</v>
      </c>
      <c r="J27" s="105">
        <v>0.23</v>
      </c>
      <c r="L27" s="123" t="s">
        <v>168</v>
      </c>
      <c r="M27" s="117">
        <v>15366</v>
      </c>
      <c r="N27" s="118">
        <v>0.18</v>
      </c>
      <c r="O27" s="117">
        <v>13353</v>
      </c>
      <c r="P27" s="118">
        <v>0.22</v>
      </c>
    </row>
    <row r="28" spans="1:16">
      <c r="A28" s="13" t="s">
        <v>107</v>
      </c>
      <c r="B28" s="38">
        <v>2909</v>
      </c>
      <c r="C28" s="91">
        <v>2000</v>
      </c>
      <c r="D28" s="55">
        <v>-0.31</v>
      </c>
      <c r="G28" s="67" t="s">
        <v>67</v>
      </c>
      <c r="H28" s="102">
        <v>1080</v>
      </c>
      <c r="I28" s="67">
        <v>943</v>
      </c>
      <c r="J28" s="101">
        <v>-0.13</v>
      </c>
      <c r="L28" s="123"/>
      <c r="M28" s="120"/>
      <c r="N28" s="120"/>
      <c r="O28" s="120"/>
      <c r="P28" s="120"/>
    </row>
    <row r="29" spans="1:16">
      <c r="A29" s="13"/>
      <c r="B29" s="44" t="s">
        <v>14</v>
      </c>
      <c r="C29" s="95" t="s">
        <v>14</v>
      </c>
      <c r="D29" s="13"/>
      <c r="G29" s="67" t="s">
        <v>115</v>
      </c>
      <c r="H29" s="102">
        <v>2628</v>
      </c>
      <c r="I29" s="102">
        <v>1379</v>
      </c>
      <c r="J29" s="101">
        <v>-0.48</v>
      </c>
      <c r="L29" s="123" t="s">
        <v>169</v>
      </c>
      <c r="M29" s="124" t="s">
        <v>14</v>
      </c>
      <c r="N29" s="124" t="s">
        <v>14</v>
      </c>
      <c r="O29" s="117">
        <v>3482</v>
      </c>
      <c r="P29" s="118">
        <v>0.06</v>
      </c>
    </row>
    <row r="30" spans="1:16">
      <c r="A30" s="34" t="s">
        <v>70</v>
      </c>
      <c r="B30" s="36" t="s">
        <v>170</v>
      </c>
      <c r="C30" s="90" t="s">
        <v>171</v>
      </c>
      <c r="D30" s="34" t="s">
        <v>10</v>
      </c>
      <c r="G30" s="106" t="s">
        <v>14</v>
      </c>
      <c r="H30" s="107" t="s">
        <v>14</v>
      </c>
      <c r="I30" s="107" t="s">
        <v>14</v>
      </c>
      <c r="J30" s="107" t="s">
        <v>14</v>
      </c>
      <c r="L30" s="123"/>
      <c r="M30" s="124"/>
      <c r="N30" s="124"/>
      <c r="O30" s="117"/>
      <c r="P30" s="118"/>
    </row>
    <row r="31" spans="1:16" ht="15.75">
      <c r="A31" s="13" t="s">
        <v>43</v>
      </c>
      <c r="B31" s="44">
        <v>429</v>
      </c>
      <c r="C31" s="91">
        <v>1009</v>
      </c>
      <c r="D31" s="13"/>
      <c r="G31" s="108" t="s">
        <v>74</v>
      </c>
      <c r="H31" s="102">
        <v>86065</v>
      </c>
      <c r="I31" s="102">
        <v>61659</v>
      </c>
      <c r="J31" s="101">
        <v>-0.28000000000000003</v>
      </c>
      <c r="L31" s="123" t="s">
        <v>172</v>
      </c>
      <c r="M31" s="117">
        <v>10914</v>
      </c>
      <c r="N31" s="118">
        <v>0.13</v>
      </c>
      <c r="O31" s="117">
        <v>7491</v>
      </c>
      <c r="P31" s="118">
        <v>0.12</v>
      </c>
    </row>
    <row r="32" spans="1:16" ht="15.75">
      <c r="A32" s="13" t="s">
        <v>75</v>
      </c>
      <c r="B32" s="38">
        <v>3432</v>
      </c>
      <c r="C32" s="91">
        <v>8072</v>
      </c>
      <c r="D32" s="55">
        <v>1.35</v>
      </c>
      <c r="G32" s="109" t="s">
        <v>14</v>
      </c>
      <c r="H32" s="109" t="s">
        <v>14</v>
      </c>
      <c r="I32" s="109" t="s">
        <v>14</v>
      </c>
      <c r="J32" s="110" t="s">
        <v>14</v>
      </c>
      <c r="L32" s="2"/>
      <c r="M32" s="5"/>
      <c r="N32" s="85"/>
      <c r="O32" s="5"/>
      <c r="P32" s="5"/>
    </row>
    <row r="33" spans="1:16" ht="15.75">
      <c r="A33" s="13" t="s">
        <v>48</v>
      </c>
      <c r="B33" s="38">
        <v>2901</v>
      </c>
      <c r="C33" s="91">
        <v>6607</v>
      </c>
      <c r="D33" s="55">
        <v>1.28</v>
      </c>
      <c r="G33" s="108" t="s">
        <v>14</v>
      </c>
      <c r="H33" s="108" t="s">
        <v>14</v>
      </c>
      <c r="I33" s="108" t="s">
        <v>14</v>
      </c>
      <c r="J33" s="67" t="s">
        <v>14</v>
      </c>
      <c r="M33" s="6"/>
      <c r="N33" s="84"/>
      <c r="O33" s="6"/>
      <c r="P33" s="6"/>
    </row>
    <row r="34" spans="1:16">
      <c r="A34" s="13" t="s">
        <v>25</v>
      </c>
      <c r="B34" s="44">
        <v>63</v>
      </c>
      <c r="C34" s="95">
        <v>137</v>
      </c>
      <c r="D34" s="55">
        <v>1.17</v>
      </c>
      <c r="G34" s="199" t="s">
        <v>173</v>
      </c>
      <c r="H34" s="199"/>
      <c r="I34" s="199"/>
      <c r="J34" s="199"/>
      <c r="L34" s="115" t="s">
        <v>76</v>
      </c>
      <c r="M34" s="125">
        <v>86065</v>
      </c>
      <c r="N34" s="126">
        <v>1</v>
      </c>
      <c r="O34" s="125">
        <v>61659</v>
      </c>
      <c r="P34" s="126">
        <v>1</v>
      </c>
    </row>
    <row r="35" spans="1:16">
      <c r="A35" s="13" t="s">
        <v>28</v>
      </c>
      <c r="B35" s="44">
        <v>231</v>
      </c>
      <c r="C35" s="95">
        <v>911</v>
      </c>
      <c r="D35" s="55">
        <v>2.94</v>
      </c>
      <c r="G35" s="199" t="s">
        <v>174</v>
      </c>
      <c r="H35" s="199"/>
      <c r="I35" s="199"/>
      <c r="J35" s="199"/>
      <c r="L35" s="2"/>
      <c r="M35" s="2"/>
      <c r="N35" s="2"/>
      <c r="O35" s="2"/>
      <c r="P35" s="2"/>
    </row>
    <row r="36" spans="1:16">
      <c r="A36" s="13" t="s">
        <v>107</v>
      </c>
      <c r="B36" s="44">
        <v>237</v>
      </c>
      <c r="C36" s="95">
        <v>417</v>
      </c>
      <c r="D36" s="55">
        <v>0.76</v>
      </c>
      <c r="G36" s="228" t="s">
        <v>175</v>
      </c>
      <c r="H36" s="228"/>
      <c r="I36" s="228"/>
      <c r="J36" s="228"/>
    </row>
    <row r="37" spans="1:16">
      <c r="A37" s="13"/>
      <c r="B37" s="44" t="s">
        <v>14</v>
      </c>
      <c r="C37" s="95" t="s">
        <v>14</v>
      </c>
      <c r="D37" s="13"/>
      <c r="G37" s="228" t="s">
        <v>176</v>
      </c>
      <c r="H37" s="228"/>
      <c r="I37" s="228"/>
      <c r="J37" s="228"/>
      <c r="L37" s="127" t="s">
        <v>173</v>
      </c>
    </row>
    <row r="38" spans="1:16">
      <c r="A38" s="34" t="s">
        <v>82</v>
      </c>
      <c r="B38" s="36" t="s">
        <v>177</v>
      </c>
      <c r="C38" s="90" t="s">
        <v>178</v>
      </c>
      <c r="D38" s="34" t="s">
        <v>10</v>
      </c>
      <c r="G38" s="228" t="s">
        <v>179</v>
      </c>
      <c r="H38" s="228"/>
      <c r="I38" s="228"/>
      <c r="J38" s="228"/>
      <c r="L38" s="215" t="s">
        <v>174</v>
      </c>
      <c r="M38" s="215"/>
      <c r="N38" s="215"/>
      <c r="O38" s="215"/>
      <c r="P38" s="215"/>
    </row>
    <row r="39" spans="1:16">
      <c r="A39" s="13" t="s">
        <v>43</v>
      </c>
      <c r="B39" s="38">
        <v>1037</v>
      </c>
      <c r="C39" s="95">
        <v>951</v>
      </c>
      <c r="D39" s="13"/>
      <c r="G39" s="80" t="s">
        <v>180</v>
      </c>
      <c r="H39" s="13"/>
      <c r="L39" s="216" t="s">
        <v>181</v>
      </c>
      <c r="M39" s="216"/>
      <c r="N39" s="216"/>
      <c r="O39" s="216"/>
      <c r="P39" s="216"/>
    </row>
    <row r="40" spans="1:16">
      <c r="A40" s="13" t="s">
        <v>89</v>
      </c>
      <c r="B40" s="38">
        <v>8294</v>
      </c>
      <c r="C40" s="91">
        <v>7604</v>
      </c>
      <c r="D40" s="55">
        <v>-0.08</v>
      </c>
      <c r="G40" s="111"/>
      <c r="H40" s="112"/>
      <c r="I40" s="112"/>
      <c r="J40" s="113"/>
      <c r="L40" s="216" t="s">
        <v>182</v>
      </c>
      <c r="M40" s="216"/>
      <c r="N40" s="216"/>
      <c r="O40" s="216"/>
      <c r="P40" s="216"/>
    </row>
    <row r="41" spans="1:16">
      <c r="A41" s="13" t="s">
        <v>48</v>
      </c>
      <c r="B41" s="38">
        <v>6892</v>
      </c>
      <c r="C41" s="91">
        <v>6028</v>
      </c>
      <c r="D41" s="55">
        <v>-0.13</v>
      </c>
    </row>
    <row r="42" spans="1:16">
      <c r="A42" s="13" t="s">
        <v>25</v>
      </c>
      <c r="B42" s="44">
        <v>334</v>
      </c>
      <c r="C42" s="95">
        <v>488</v>
      </c>
      <c r="D42" s="55">
        <v>0.46</v>
      </c>
    </row>
    <row r="43" spans="1:16">
      <c r="A43" s="13" t="s">
        <v>28</v>
      </c>
      <c r="B43" s="44">
        <v>698</v>
      </c>
      <c r="C43" s="95">
        <v>611</v>
      </c>
      <c r="D43" s="55">
        <v>-0.12</v>
      </c>
    </row>
    <row r="44" spans="1:16">
      <c r="A44" s="41" t="s">
        <v>107</v>
      </c>
      <c r="B44" s="96">
        <v>370</v>
      </c>
      <c r="C44" s="41">
        <v>477</v>
      </c>
      <c r="D44" s="58">
        <v>0.28999999999999998</v>
      </c>
    </row>
    <row r="45" spans="1:16">
      <c r="A45" s="217" t="s">
        <v>183</v>
      </c>
      <c r="B45" s="217"/>
      <c r="C45" s="217"/>
      <c r="D45" s="217"/>
    </row>
    <row r="46" spans="1:16">
      <c r="A46" s="204" t="s">
        <v>184</v>
      </c>
      <c r="B46" s="204"/>
      <c r="C46" s="204"/>
      <c r="D46" s="204"/>
    </row>
    <row r="47" spans="1:16">
      <c r="A47" s="205" t="s">
        <v>185</v>
      </c>
      <c r="B47" s="205"/>
      <c r="C47" s="205"/>
      <c r="D47" s="205"/>
    </row>
  </sheetData>
  <mergeCells count="18">
    <mergeCell ref="A45:D45"/>
    <mergeCell ref="A46:D46"/>
    <mergeCell ref="A47:D47"/>
    <mergeCell ref="G1:J1"/>
    <mergeCell ref="G2:J2"/>
    <mergeCell ref="G3:J3"/>
    <mergeCell ref="G34:J34"/>
    <mergeCell ref="G35:J35"/>
    <mergeCell ref="G36:J36"/>
    <mergeCell ref="G37:J37"/>
    <mergeCell ref="G38:J38"/>
    <mergeCell ref="A1:C1"/>
    <mergeCell ref="A2:C2"/>
    <mergeCell ref="L1:P1"/>
    <mergeCell ref="L2:P2"/>
    <mergeCell ref="L38:P38"/>
    <mergeCell ref="L39:P39"/>
    <mergeCell ref="L40:P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D9AE5-0A61-417A-A85F-DA50CEC32EBB}">
  <dimension ref="A1:U42"/>
  <sheetViews>
    <sheetView workbookViewId="0">
      <selection activeCell="G1" sqref="G1:K36"/>
    </sheetView>
  </sheetViews>
  <sheetFormatPr defaultRowHeight="15"/>
  <cols>
    <col min="18" max="18" width="90.28515625" bestFit="1" customWidth="1"/>
  </cols>
  <sheetData>
    <row r="1" spans="1:21" ht="21" customHeight="1">
      <c r="A1" s="207" t="s">
        <v>94</v>
      </c>
      <c r="B1" s="207"/>
      <c r="C1" s="207"/>
      <c r="G1" s="197" t="s">
        <v>95</v>
      </c>
      <c r="H1" s="197"/>
      <c r="I1" s="197"/>
      <c r="J1" s="197"/>
      <c r="K1" s="197"/>
      <c r="R1" s="210" t="s">
        <v>96</v>
      </c>
      <c r="S1" s="211"/>
      <c r="T1" s="211"/>
      <c r="U1" s="211"/>
    </row>
    <row r="2" spans="1:21" ht="15.75">
      <c r="A2" s="208" t="s">
        <v>186</v>
      </c>
      <c r="B2" s="208"/>
      <c r="C2" s="208"/>
      <c r="G2" s="198" t="s">
        <v>187</v>
      </c>
      <c r="H2" s="198"/>
      <c r="I2" s="198"/>
      <c r="J2" s="198"/>
      <c r="K2" s="198"/>
      <c r="R2" s="212" t="s">
        <v>5</v>
      </c>
      <c r="S2" s="212"/>
      <c r="T2" s="212"/>
      <c r="U2" s="212"/>
    </row>
    <row r="3" spans="1:21" ht="15.75">
      <c r="G3" s="2"/>
      <c r="H3" s="2"/>
      <c r="I3" s="2"/>
      <c r="J3" s="2"/>
      <c r="K3" s="2"/>
      <c r="R3" s="212" t="s">
        <v>188</v>
      </c>
      <c r="S3" s="212"/>
      <c r="T3" s="212"/>
      <c r="U3" s="212"/>
    </row>
    <row r="4" spans="1:21" ht="15.75">
      <c r="R4" s="98"/>
      <c r="S4" s="98"/>
      <c r="T4" s="98"/>
      <c r="U4" s="98"/>
    </row>
    <row r="5" spans="1:21" ht="16.5">
      <c r="B5" s="130" t="s">
        <v>189</v>
      </c>
      <c r="C5" s="130" t="s">
        <v>190</v>
      </c>
      <c r="G5" s="3" t="s">
        <v>11</v>
      </c>
      <c r="H5" s="1" t="s">
        <v>12</v>
      </c>
      <c r="I5" s="1" t="s">
        <v>13</v>
      </c>
      <c r="J5" s="1" t="s">
        <v>12</v>
      </c>
      <c r="K5" s="1" t="s">
        <v>13</v>
      </c>
      <c r="R5" s="134" t="s">
        <v>15</v>
      </c>
      <c r="S5" s="135" t="s">
        <v>191</v>
      </c>
      <c r="T5" s="135" t="s">
        <v>192</v>
      </c>
      <c r="U5" s="136" t="s">
        <v>10</v>
      </c>
    </row>
    <row r="6" spans="1:21">
      <c r="B6" s="130" t="s">
        <v>193</v>
      </c>
      <c r="C6" s="130" t="s">
        <v>159</v>
      </c>
      <c r="G6" s="3"/>
      <c r="H6" s="1" t="s">
        <v>194</v>
      </c>
      <c r="I6" s="1" t="s">
        <v>19</v>
      </c>
      <c r="J6" s="1" t="s">
        <v>195</v>
      </c>
      <c r="K6" s="1" t="s">
        <v>19</v>
      </c>
      <c r="R6" s="137" t="s">
        <v>196</v>
      </c>
      <c r="S6" s="138">
        <v>11</v>
      </c>
      <c r="T6" s="139" t="s">
        <v>197</v>
      </c>
      <c r="U6" s="139" t="s">
        <v>197</v>
      </c>
    </row>
    <row r="7" spans="1:21">
      <c r="A7" t="s">
        <v>43</v>
      </c>
      <c r="B7" s="131">
        <v>3011</v>
      </c>
      <c r="C7" s="131">
        <f>C9/16</f>
        <v>2777.875</v>
      </c>
      <c r="G7" s="2"/>
      <c r="H7" s="5"/>
      <c r="I7" s="5"/>
      <c r="J7" s="5"/>
      <c r="K7" s="5"/>
      <c r="R7" s="112" t="s">
        <v>22</v>
      </c>
      <c r="S7" s="112">
        <v>564</v>
      </c>
      <c r="T7" s="112">
        <v>496</v>
      </c>
      <c r="U7" s="113">
        <f>(T7-S7)/S7</f>
        <v>-0.12056737588652482</v>
      </c>
    </row>
    <row r="8" spans="1:21">
      <c r="A8" t="s">
        <v>198</v>
      </c>
      <c r="B8" s="132">
        <v>-0.34</v>
      </c>
      <c r="C8" s="132">
        <f>(C7-B7)/B7</f>
        <v>-7.7424443706409829E-2</v>
      </c>
      <c r="H8" s="6"/>
      <c r="I8" s="6"/>
      <c r="J8" s="6"/>
      <c r="K8" s="6"/>
      <c r="R8" s="112" t="s">
        <v>104</v>
      </c>
      <c r="S8" s="112">
        <v>15310</v>
      </c>
      <c r="T8" s="112">
        <f>8961+35</f>
        <v>8996</v>
      </c>
      <c r="U8" s="113">
        <f t="shared" ref="U8:U20" si="0">(T8-S8)/S8</f>
        <v>-0.41241018941868063</v>
      </c>
    </row>
    <row r="9" spans="1:21">
      <c r="A9" t="s">
        <v>45</v>
      </c>
      <c r="B9" s="131">
        <v>48179</v>
      </c>
      <c r="C9" s="131">
        <v>44446</v>
      </c>
      <c r="G9" s="7" t="s">
        <v>27</v>
      </c>
      <c r="H9" s="8">
        <v>12138</v>
      </c>
      <c r="I9" s="84">
        <v>0.11</v>
      </c>
      <c r="J9" s="8">
        <v>8280</v>
      </c>
      <c r="K9" s="84">
        <v>9.6206355661418691E-2</v>
      </c>
      <c r="R9" s="112" t="s">
        <v>105</v>
      </c>
      <c r="S9" s="112">
        <v>5414</v>
      </c>
      <c r="T9" s="112">
        <v>3836</v>
      </c>
      <c r="U9" s="113">
        <f t="shared" si="0"/>
        <v>-0.29146656815663097</v>
      </c>
    </row>
    <row r="10" spans="1:21">
      <c r="A10" t="s">
        <v>199</v>
      </c>
      <c r="B10" s="131">
        <v>40965</v>
      </c>
      <c r="C10" s="131">
        <f>C9-C11</f>
        <v>39259</v>
      </c>
      <c r="H10" s="6"/>
      <c r="I10" s="84"/>
      <c r="J10" s="6"/>
      <c r="K10" s="84"/>
      <c r="R10" s="112" t="s">
        <v>200</v>
      </c>
      <c r="S10" s="112">
        <v>30</v>
      </c>
      <c r="T10" s="112">
        <f>187+27+17+16+10+6</f>
        <v>263</v>
      </c>
      <c r="U10" s="113">
        <f t="shared" si="0"/>
        <v>7.7666666666666666</v>
      </c>
    </row>
    <row r="11" spans="1:21">
      <c r="A11" t="s">
        <v>201</v>
      </c>
      <c r="B11" s="131">
        <v>7214</v>
      </c>
      <c r="C11" s="131">
        <v>5187</v>
      </c>
      <c r="G11" s="7" t="s">
        <v>32</v>
      </c>
      <c r="H11" s="8">
        <v>13995</v>
      </c>
      <c r="I11" s="84">
        <v>0.13</v>
      </c>
      <c r="J11" s="8">
        <v>9065</v>
      </c>
      <c r="K11" s="84">
        <v>0.10532736884912566</v>
      </c>
      <c r="R11" s="112" t="s">
        <v>31</v>
      </c>
      <c r="S11" s="112">
        <v>50</v>
      </c>
      <c r="T11" s="112">
        <v>74</v>
      </c>
      <c r="U11" s="113">
        <f t="shared" si="0"/>
        <v>0.48</v>
      </c>
    </row>
    <row r="12" spans="1:21">
      <c r="A12" t="s">
        <v>202</v>
      </c>
      <c r="B12" s="132">
        <v>-0.2</v>
      </c>
      <c r="C12" s="132">
        <f>(C11-B11)/B11</f>
        <v>-0.28098142500693096</v>
      </c>
      <c r="H12" s="6"/>
      <c r="I12" s="84"/>
      <c r="J12" s="6"/>
      <c r="K12" s="84"/>
      <c r="R12" s="112" t="s">
        <v>33</v>
      </c>
      <c r="S12" s="112">
        <v>46753</v>
      </c>
      <c r="T12" s="112">
        <f>39760+1357+211+63</f>
        <v>41391</v>
      </c>
      <c r="U12" s="113">
        <f t="shared" si="0"/>
        <v>-0.11468782751908968</v>
      </c>
    </row>
    <row r="13" spans="1:21">
      <c r="B13" s="133"/>
      <c r="C13" s="133"/>
      <c r="G13" s="7" t="s">
        <v>36</v>
      </c>
      <c r="H13" s="8">
        <v>19695</v>
      </c>
      <c r="I13" s="84">
        <v>0.18</v>
      </c>
      <c r="J13" s="8">
        <v>13324</v>
      </c>
      <c r="K13" s="84">
        <v>0.15481322256434091</v>
      </c>
      <c r="R13" s="112" t="s">
        <v>35</v>
      </c>
      <c r="S13" s="112">
        <v>31</v>
      </c>
      <c r="T13" s="112">
        <f>34+14+2</f>
        <v>50</v>
      </c>
      <c r="U13" s="113">
        <f t="shared" si="0"/>
        <v>0.61290322580645162</v>
      </c>
    </row>
    <row r="14" spans="1:21">
      <c r="B14" s="130" t="s">
        <v>203</v>
      </c>
      <c r="C14" s="130" t="s">
        <v>204</v>
      </c>
      <c r="H14" s="6"/>
      <c r="I14" s="84"/>
      <c r="J14" s="6"/>
      <c r="K14" s="84"/>
      <c r="R14" s="112" t="s">
        <v>37</v>
      </c>
      <c r="S14" s="112">
        <v>1688</v>
      </c>
      <c r="T14" s="112">
        <v>1961</v>
      </c>
      <c r="U14" s="113">
        <f t="shared" si="0"/>
        <v>0.1617298578199052</v>
      </c>
    </row>
    <row r="15" spans="1:21">
      <c r="A15" t="s">
        <v>43</v>
      </c>
      <c r="B15" s="131">
        <v>2543</v>
      </c>
      <c r="C15" s="131">
        <f>C17/16</f>
        <v>1868.3125</v>
      </c>
      <c r="G15" s="7" t="s">
        <v>161</v>
      </c>
      <c r="H15" s="8">
        <v>29829</v>
      </c>
      <c r="I15" s="84">
        <v>0.27</v>
      </c>
      <c r="J15" s="8">
        <v>20728</v>
      </c>
      <c r="K15" s="84">
        <v>0.24084122465578342</v>
      </c>
      <c r="R15" s="112" t="s">
        <v>41</v>
      </c>
      <c r="S15" s="112">
        <v>6077</v>
      </c>
      <c r="T15" s="112">
        <f>4536+141+47</f>
        <v>4724</v>
      </c>
      <c r="U15" s="113">
        <f t="shared" si="0"/>
        <v>-0.22264275135757775</v>
      </c>
    </row>
    <row r="16" spans="1:21">
      <c r="A16" t="s">
        <v>205</v>
      </c>
      <c r="B16" s="132">
        <v>-0.21</v>
      </c>
      <c r="C16" s="132">
        <f>(C15-B15)/B15</f>
        <v>-0.26531163979551708</v>
      </c>
      <c r="H16" s="6"/>
      <c r="I16" s="84"/>
      <c r="J16" s="6"/>
      <c r="K16" s="84"/>
      <c r="R16" s="112" t="s">
        <v>44</v>
      </c>
      <c r="S16" s="112">
        <v>169</v>
      </c>
      <c r="T16" s="112">
        <v>174</v>
      </c>
      <c r="U16" s="113">
        <f t="shared" si="0"/>
        <v>2.9585798816568046E-2</v>
      </c>
    </row>
    <row r="17" spans="1:21">
      <c r="A17" t="s">
        <v>45</v>
      </c>
      <c r="B17" s="131">
        <v>40683</v>
      </c>
      <c r="C17" s="131">
        <v>29893</v>
      </c>
      <c r="G17" s="2" t="s">
        <v>47</v>
      </c>
      <c r="H17" s="10">
        <v>75657</v>
      </c>
      <c r="I17" s="85">
        <v>0.68</v>
      </c>
      <c r="J17" s="10">
        <v>51397</v>
      </c>
      <c r="K17" s="85">
        <v>0.59718817173066863</v>
      </c>
      <c r="R17" s="112" t="s">
        <v>162</v>
      </c>
      <c r="S17" s="112">
        <v>19614</v>
      </c>
      <c r="T17" s="112">
        <f>9145+553</f>
        <v>9698</v>
      </c>
      <c r="U17" s="113">
        <f t="shared" si="0"/>
        <v>-0.50555725502192317</v>
      </c>
    </row>
    <row r="18" spans="1:21">
      <c r="A18" t="s">
        <v>199</v>
      </c>
      <c r="B18" s="131">
        <v>34925</v>
      </c>
      <c r="C18" s="131">
        <f>C17-C19</f>
        <v>26479</v>
      </c>
      <c r="H18" s="6"/>
      <c r="I18" s="84"/>
      <c r="J18" s="6"/>
      <c r="K18" s="84"/>
      <c r="R18" s="112" t="s">
        <v>49</v>
      </c>
      <c r="S18" s="112">
        <v>61</v>
      </c>
      <c r="T18" s="112">
        <v>52</v>
      </c>
      <c r="U18" s="113">
        <f t="shared" si="0"/>
        <v>-0.14754098360655737</v>
      </c>
    </row>
    <row r="19" spans="1:21">
      <c r="A19" t="s">
        <v>201</v>
      </c>
      <c r="B19" s="131">
        <v>5758</v>
      </c>
      <c r="C19" s="131">
        <v>3414</v>
      </c>
      <c r="G19" s="7" t="s">
        <v>51</v>
      </c>
      <c r="H19" s="8">
        <v>8594</v>
      </c>
      <c r="I19" s="84">
        <v>0.08</v>
      </c>
      <c r="J19" s="8">
        <v>7134</v>
      </c>
      <c r="K19" s="84">
        <v>8.289083831987451E-2</v>
      </c>
      <c r="R19" s="112" t="s">
        <v>50</v>
      </c>
      <c r="S19" s="112">
        <v>156</v>
      </c>
      <c r="T19" s="112">
        <v>103</v>
      </c>
      <c r="U19" s="113">
        <f t="shared" si="0"/>
        <v>-0.33974358974358976</v>
      </c>
    </row>
    <row r="20" spans="1:21">
      <c r="A20" t="s">
        <v>206</v>
      </c>
      <c r="B20" s="132">
        <v>-0.21</v>
      </c>
      <c r="C20" s="132">
        <f>(C19-B19)/B19</f>
        <v>-0.40708579367836056</v>
      </c>
      <c r="H20" s="6"/>
      <c r="I20" s="84"/>
      <c r="J20" s="6"/>
      <c r="K20" s="84"/>
      <c r="R20" s="112" t="s">
        <v>52</v>
      </c>
      <c r="S20" s="112">
        <v>1407</v>
      </c>
      <c r="T20" s="112">
        <v>921</v>
      </c>
      <c r="U20" s="113">
        <f t="shared" si="0"/>
        <v>-0.34541577825159914</v>
      </c>
    </row>
    <row r="21" spans="1:21">
      <c r="B21" s="133"/>
      <c r="C21" s="133"/>
      <c r="G21" s="7" t="s">
        <v>54</v>
      </c>
      <c r="H21" s="8">
        <v>1429</v>
      </c>
      <c r="I21" s="84">
        <v>0.01</v>
      </c>
      <c r="J21" s="8">
        <v>1254</v>
      </c>
      <c r="K21" s="84">
        <v>1.4570382850171383E-2</v>
      </c>
      <c r="R21" s="112" t="s">
        <v>207</v>
      </c>
      <c r="S21" s="139" t="s">
        <v>197</v>
      </c>
      <c r="T21" s="112">
        <f>357+5+1</f>
        <v>363</v>
      </c>
      <c r="U21" s="140" t="s">
        <v>208</v>
      </c>
    </row>
    <row r="22" spans="1:21">
      <c r="B22" s="130" t="s">
        <v>209</v>
      </c>
      <c r="C22" s="130" t="s">
        <v>209</v>
      </c>
      <c r="H22" s="6"/>
      <c r="I22" s="84"/>
      <c r="J22" s="6"/>
      <c r="K22" s="84"/>
      <c r="R22" s="112" t="s">
        <v>55</v>
      </c>
      <c r="S22" s="112">
        <v>827</v>
      </c>
      <c r="T22" s="112">
        <v>525</v>
      </c>
      <c r="U22" s="113">
        <f t="shared" ref="U22:U30" si="1">(T22-S22)/S22</f>
        <v>-0.3651753325272068</v>
      </c>
    </row>
    <row r="23" spans="1:21">
      <c r="A23" t="s">
        <v>43</v>
      </c>
      <c r="B23" s="131">
        <v>1666</v>
      </c>
      <c r="C23" s="131">
        <f>C25/8</f>
        <v>429</v>
      </c>
      <c r="G23" s="2" t="s">
        <v>59</v>
      </c>
      <c r="H23" s="10">
        <v>10023</v>
      </c>
      <c r="I23" s="85">
        <v>0.09</v>
      </c>
      <c r="J23" s="10">
        <v>8388</v>
      </c>
      <c r="K23" s="85">
        <v>9.7461221170045895E-2</v>
      </c>
      <c r="R23" s="112" t="s">
        <v>210</v>
      </c>
      <c r="S23" s="112">
        <v>8462</v>
      </c>
      <c r="T23" s="112">
        <f>5870+845+794+259+67+28+15+3</f>
        <v>7881</v>
      </c>
      <c r="U23" s="113">
        <f t="shared" si="1"/>
        <v>-6.8659891278657528E-2</v>
      </c>
    </row>
    <row r="24" spans="1:21">
      <c r="A24" t="s">
        <v>211</v>
      </c>
      <c r="B24" s="132">
        <v>-0.01</v>
      </c>
      <c r="C24" s="132">
        <f>(C23-B23)/B23</f>
        <v>-0.7424969987995198</v>
      </c>
      <c r="H24" s="6"/>
      <c r="I24" s="84"/>
      <c r="J24" s="6"/>
      <c r="K24" s="84"/>
      <c r="R24" s="112" t="s">
        <v>212</v>
      </c>
      <c r="S24" s="112">
        <v>283</v>
      </c>
      <c r="T24" s="112">
        <v>236</v>
      </c>
      <c r="U24" s="113">
        <f t="shared" si="1"/>
        <v>-0.16607773851590105</v>
      </c>
    </row>
    <row r="25" spans="1:21">
      <c r="A25" t="s">
        <v>45</v>
      </c>
      <c r="B25" s="131">
        <v>13326</v>
      </c>
      <c r="C25" s="131">
        <v>3432</v>
      </c>
      <c r="G25" s="2" t="s">
        <v>62</v>
      </c>
      <c r="H25" s="10">
        <v>85680</v>
      </c>
      <c r="I25" s="85">
        <v>0.77</v>
      </c>
      <c r="J25" s="10">
        <v>59785</v>
      </c>
      <c r="K25" s="85">
        <v>0.69464939290071459</v>
      </c>
      <c r="R25" s="112" t="s">
        <v>113</v>
      </c>
      <c r="S25" s="112">
        <v>49</v>
      </c>
      <c r="T25" s="112">
        <v>45</v>
      </c>
      <c r="U25" s="113">
        <f t="shared" si="1"/>
        <v>-8.1632653061224483E-2</v>
      </c>
    </row>
    <row r="26" spans="1:21">
      <c r="A26" t="s">
        <v>199</v>
      </c>
      <c r="B26" s="131">
        <v>12211</v>
      </c>
      <c r="C26" s="131">
        <f>C25-C27</f>
        <v>3369</v>
      </c>
      <c r="H26" s="6"/>
      <c r="I26" s="84"/>
      <c r="J26" s="6"/>
      <c r="K26" s="84"/>
      <c r="R26" s="112" t="s">
        <v>63</v>
      </c>
      <c r="S26" s="112">
        <v>36</v>
      </c>
      <c r="T26" s="112">
        <v>29</v>
      </c>
      <c r="U26" s="113">
        <f t="shared" si="1"/>
        <v>-0.19444444444444445</v>
      </c>
    </row>
    <row r="27" spans="1:21">
      <c r="A27" t="s">
        <v>201</v>
      </c>
      <c r="B27" s="131">
        <v>1115</v>
      </c>
      <c r="C27" s="131">
        <v>63</v>
      </c>
      <c r="G27" s="7" t="s">
        <v>65</v>
      </c>
      <c r="H27" s="8">
        <v>18113</v>
      </c>
      <c r="I27" s="84">
        <v>0.11</v>
      </c>
      <c r="J27" s="8">
        <v>15366</v>
      </c>
      <c r="K27" s="84">
        <v>0.17853947597745889</v>
      </c>
      <c r="R27" s="137" t="s">
        <v>66</v>
      </c>
      <c r="S27" s="112">
        <v>367</v>
      </c>
      <c r="T27" s="112">
        <f>83+83+69+59+7+4+1</f>
        <v>306</v>
      </c>
      <c r="U27" s="113">
        <f t="shared" si="1"/>
        <v>-0.16621253405994552</v>
      </c>
    </row>
    <row r="28" spans="1:21">
      <c r="A28" t="s">
        <v>213</v>
      </c>
      <c r="B28" s="132">
        <v>0.01</v>
      </c>
      <c r="C28" s="132">
        <f>(C27-B27)/B27</f>
        <v>-0.94349775784753365</v>
      </c>
      <c r="H28" s="6"/>
      <c r="I28" s="84"/>
      <c r="J28" s="6"/>
      <c r="K28" s="84"/>
      <c r="R28" s="112" t="s">
        <v>67</v>
      </c>
      <c r="S28" s="112">
        <v>1076</v>
      </c>
      <c r="T28" s="112">
        <f>549+157+130+130+88+25+1</f>
        <v>1080</v>
      </c>
      <c r="U28" s="113">
        <f t="shared" si="1"/>
        <v>3.7174721189591076E-3</v>
      </c>
    </row>
    <row r="29" spans="1:21">
      <c r="B29" s="133"/>
      <c r="C29" s="133"/>
      <c r="G29" s="7" t="s">
        <v>214</v>
      </c>
      <c r="H29" s="8">
        <v>13352</v>
      </c>
      <c r="I29" s="84">
        <v>0.12</v>
      </c>
      <c r="J29" s="8">
        <v>10914</v>
      </c>
      <c r="K29" s="84">
        <v>0.12681113112182651</v>
      </c>
      <c r="R29" s="112" t="s">
        <v>115</v>
      </c>
      <c r="S29" s="112">
        <v>3338</v>
      </c>
      <c r="T29" s="112">
        <f>1485+557+333+78+48+39+35+23+26+4</f>
        <v>2628</v>
      </c>
      <c r="U29" s="113">
        <f t="shared" si="1"/>
        <v>-0.21270221689634511</v>
      </c>
    </row>
    <row r="30" spans="1:21">
      <c r="B30" s="130" t="s">
        <v>215</v>
      </c>
      <c r="C30" s="130" t="s">
        <v>215</v>
      </c>
      <c r="G30" s="2"/>
      <c r="H30" s="5"/>
      <c r="I30" s="85"/>
      <c r="J30" s="5"/>
      <c r="K30" s="5"/>
      <c r="R30" s="141" t="s">
        <v>216</v>
      </c>
      <c r="S30" s="112">
        <v>73</v>
      </c>
      <c r="T30" s="112">
        <f>93+63+43+21+5+3+2+1+1+1</f>
        <v>233</v>
      </c>
      <c r="U30" s="113">
        <f t="shared" si="1"/>
        <v>2.1917808219178081</v>
      </c>
    </row>
    <row r="31" spans="1:21">
      <c r="A31" t="s">
        <v>43</v>
      </c>
      <c r="B31" s="131">
        <v>1207</v>
      </c>
      <c r="C31" s="131">
        <f>C33/8</f>
        <v>1036.75</v>
      </c>
      <c r="H31" s="6"/>
      <c r="I31" s="84"/>
      <c r="J31" s="6"/>
      <c r="K31" s="6"/>
      <c r="R31" s="112"/>
      <c r="S31" s="142"/>
      <c r="T31" s="142"/>
      <c r="U31" s="142"/>
    </row>
    <row r="32" spans="1:21" ht="15.75">
      <c r="A32" t="s">
        <v>217</v>
      </c>
      <c r="B32" s="132">
        <v>-0.45</v>
      </c>
      <c r="C32" s="132">
        <f>(C31-B31)/B31</f>
        <v>-0.14105219552609777</v>
      </c>
      <c r="G32" s="3" t="s">
        <v>76</v>
      </c>
      <c r="H32" s="147">
        <v>117145</v>
      </c>
      <c r="I32" s="15">
        <v>1</v>
      </c>
      <c r="J32" s="147">
        <v>86065</v>
      </c>
      <c r="K32" s="15">
        <v>1</v>
      </c>
      <c r="R32" s="143" t="s">
        <v>74</v>
      </c>
      <c r="S32" s="112">
        <v>111846</v>
      </c>
      <c r="T32" s="112">
        <f>SUM(T7:T30)</f>
        <v>86065</v>
      </c>
      <c r="U32" s="113">
        <f>(T32-S32)/S32</f>
        <v>-0.23050444360996369</v>
      </c>
    </row>
    <row r="33" spans="1:21" ht="15.75">
      <c r="A33" t="s">
        <v>45</v>
      </c>
      <c r="B33" s="131">
        <v>9658</v>
      </c>
      <c r="C33" s="131">
        <v>8294</v>
      </c>
      <c r="G33" s="2"/>
      <c r="H33" s="2"/>
      <c r="I33" s="2"/>
      <c r="J33" s="2"/>
      <c r="K33" s="2"/>
      <c r="R33" s="144"/>
      <c r="S33" s="144"/>
      <c r="T33" s="144"/>
      <c r="U33" s="145"/>
    </row>
    <row r="34" spans="1:21" ht="15.75">
      <c r="A34" t="s">
        <v>199</v>
      </c>
      <c r="B34" s="131">
        <v>8371</v>
      </c>
      <c r="C34" s="131">
        <f>C33-C35</f>
        <v>7957</v>
      </c>
      <c r="R34" s="143"/>
      <c r="S34" s="146"/>
      <c r="T34" s="146"/>
      <c r="U34" s="113"/>
    </row>
    <row r="35" spans="1:21">
      <c r="A35" t="s">
        <v>201</v>
      </c>
      <c r="B35" s="131">
        <v>1287</v>
      </c>
      <c r="C35" s="131">
        <v>337</v>
      </c>
      <c r="G35" t="s">
        <v>218</v>
      </c>
      <c r="R35" s="112" t="s">
        <v>219</v>
      </c>
      <c r="S35" s="112"/>
      <c r="T35" s="112"/>
      <c r="U35" s="113"/>
    </row>
    <row r="36" spans="1:21">
      <c r="A36" t="s">
        <v>220</v>
      </c>
      <c r="B36" s="132">
        <v>-0.45</v>
      </c>
      <c r="C36" s="132">
        <f>(C35-B35)/B35</f>
        <v>-0.73815073815073817</v>
      </c>
      <c r="G36" s="206" t="s">
        <v>221</v>
      </c>
      <c r="H36" s="206"/>
      <c r="I36" s="206"/>
      <c r="J36" s="206"/>
      <c r="K36" s="206"/>
      <c r="R36" s="112" t="s">
        <v>222</v>
      </c>
      <c r="S36" s="112"/>
      <c r="T36" s="112"/>
      <c r="U36" s="113"/>
    </row>
    <row r="37" spans="1:21">
      <c r="B37" s="133"/>
      <c r="C37" s="133"/>
      <c r="R37" s="112" t="s">
        <v>223</v>
      </c>
      <c r="S37" s="112"/>
      <c r="T37" s="112"/>
      <c r="U37" s="113"/>
    </row>
    <row r="38" spans="1:21">
      <c r="A38" s="3" t="s">
        <v>224</v>
      </c>
      <c r="B38" s="131">
        <f>B9+B17+B25+B33</f>
        <v>111846</v>
      </c>
      <c r="C38" s="131">
        <f>C9+C17+C25+C33</f>
        <v>86065</v>
      </c>
      <c r="R38" s="112" t="s">
        <v>225</v>
      </c>
      <c r="S38" s="112"/>
      <c r="T38" s="112"/>
      <c r="U38" s="113"/>
    </row>
    <row r="39" spans="1:21">
      <c r="R39" s="111" t="s">
        <v>226</v>
      </c>
      <c r="S39" s="112"/>
      <c r="T39" s="112"/>
      <c r="U39" s="113"/>
    </row>
    <row r="40" spans="1:21">
      <c r="R40" s="111" t="s">
        <v>227</v>
      </c>
      <c r="S40" s="112"/>
      <c r="T40" s="112"/>
      <c r="U40" s="113"/>
    </row>
    <row r="41" spans="1:21">
      <c r="A41" s="209" t="s">
        <v>219</v>
      </c>
      <c r="B41" s="209"/>
      <c r="C41" s="209"/>
      <c r="R41" s="112"/>
      <c r="S41" s="112"/>
      <c r="T41" s="112"/>
      <c r="U41" s="113"/>
    </row>
    <row r="42" spans="1:21">
      <c r="A42" s="209" t="s">
        <v>228</v>
      </c>
      <c r="B42" s="226"/>
      <c r="C42" s="226"/>
    </row>
  </sheetData>
  <mergeCells count="10">
    <mergeCell ref="A1:C1"/>
    <mergeCell ref="A2:C2"/>
    <mergeCell ref="A41:C41"/>
    <mergeCell ref="A42:C42"/>
    <mergeCell ref="R1:U1"/>
    <mergeCell ref="R2:U2"/>
    <mergeCell ref="R3:U3"/>
    <mergeCell ref="G1:K1"/>
    <mergeCell ref="G2:K2"/>
    <mergeCell ref="G36:K3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0E8AA-0FC5-4289-BF74-A5B098247535}">
  <dimension ref="A1:P41"/>
  <sheetViews>
    <sheetView workbookViewId="0">
      <selection activeCell="R50" sqref="R50"/>
    </sheetView>
  </sheetViews>
  <sheetFormatPr defaultRowHeight="15"/>
  <cols>
    <col min="1" max="3" width="19.42578125" customWidth="1"/>
  </cols>
  <sheetData>
    <row r="1" spans="1:16" ht="21">
      <c r="A1" s="207" t="s">
        <v>94</v>
      </c>
      <c r="B1" s="207"/>
      <c r="C1" s="207"/>
      <c r="F1" s="207" t="s">
        <v>229</v>
      </c>
      <c r="G1" s="207"/>
      <c r="H1" s="207"/>
      <c r="I1" s="207"/>
      <c r="J1" s="207"/>
      <c r="M1" s="210" t="s">
        <v>96</v>
      </c>
      <c r="N1" s="211"/>
      <c r="O1" s="211"/>
      <c r="P1" s="211"/>
    </row>
    <row r="2" spans="1:16" ht="15.75">
      <c r="A2" s="208" t="s">
        <v>230</v>
      </c>
      <c r="B2" s="208"/>
      <c r="C2" s="208"/>
      <c r="F2" s="198" t="s">
        <v>231</v>
      </c>
      <c r="G2" s="198"/>
      <c r="H2" s="198"/>
      <c r="I2" s="198"/>
      <c r="J2" s="198"/>
      <c r="M2" s="212" t="s">
        <v>5</v>
      </c>
      <c r="N2" s="212"/>
      <c r="O2" s="212"/>
      <c r="P2" s="212"/>
    </row>
    <row r="3" spans="1:16" ht="15.75">
      <c r="F3" s="2"/>
      <c r="G3" s="2"/>
      <c r="H3" s="2"/>
      <c r="I3" s="2"/>
      <c r="J3" s="2"/>
      <c r="M3" s="212" t="s">
        <v>232</v>
      </c>
      <c r="N3" s="212"/>
      <c r="O3" s="212"/>
      <c r="P3" s="212"/>
    </row>
    <row r="4" spans="1:16" ht="15.75">
      <c r="M4" s="98"/>
      <c r="N4" s="98"/>
      <c r="O4" s="98"/>
      <c r="P4" s="98"/>
    </row>
    <row r="5" spans="1:16" ht="32.25">
      <c r="B5" s="130" t="s">
        <v>233</v>
      </c>
      <c r="C5" s="130" t="s">
        <v>189</v>
      </c>
      <c r="F5" s="3" t="s">
        <v>11</v>
      </c>
      <c r="G5" s="1" t="s">
        <v>12</v>
      </c>
      <c r="H5" s="1" t="s">
        <v>13</v>
      </c>
      <c r="I5" s="1" t="s">
        <v>12</v>
      </c>
      <c r="J5" s="1" t="s">
        <v>13</v>
      </c>
      <c r="M5" s="151" t="s">
        <v>234</v>
      </c>
      <c r="N5" s="128" t="s">
        <v>235</v>
      </c>
      <c r="O5" s="128" t="s">
        <v>191</v>
      </c>
      <c r="P5" s="152" t="s">
        <v>10</v>
      </c>
    </row>
    <row r="6" spans="1:16" ht="57.75">
      <c r="B6" s="130" t="s">
        <v>236</v>
      </c>
      <c r="C6" s="130" t="s">
        <v>193</v>
      </c>
      <c r="F6" s="3"/>
      <c r="G6" s="1" t="s">
        <v>237</v>
      </c>
      <c r="H6" s="1" t="s">
        <v>19</v>
      </c>
      <c r="I6" s="1" t="s">
        <v>238</v>
      </c>
      <c r="J6" s="1" t="s">
        <v>19</v>
      </c>
      <c r="M6" s="137" t="s">
        <v>66</v>
      </c>
      <c r="N6" s="153">
        <v>20</v>
      </c>
      <c r="O6" s="138">
        <v>367</v>
      </c>
      <c r="P6" s="113">
        <f>(O6/N6)-1</f>
        <v>17.350000000000001</v>
      </c>
    </row>
    <row r="7" spans="1:16" ht="57.75">
      <c r="A7" t="s">
        <v>43</v>
      </c>
      <c r="B7" s="131">
        <v>3743.625</v>
      </c>
      <c r="C7" s="131">
        <f>C9/16</f>
        <v>3011.1875</v>
      </c>
      <c r="F7" s="2"/>
      <c r="G7" s="5"/>
      <c r="H7" s="5"/>
      <c r="I7" s="5"/>
      <c r="J7" s="5"/>
      <c r="M7" s="137" t="s">
        <v>239</v>
      </c>
      <c r="N7" s="138">
        <v>70</v>
      </c>
      <c r="O7" s="153" t="s">
        <v>240</v>
      </c>
      <c r="P7" s="154" t="s">
        <v>240</v>
      </c>
    </row>
    <row r="8" spans="1:16" ht="72.75">
      <c r="A8" t="s">
        <v>198</v>
      </c>
      <c r="B8" s="132">
        <v>-0.18</v>
      </c>
      <c r="C8" s="132">
        <f>(C7-B7)/B7</f>
        <v>-0.19564927042639152</v>
      </c>
      <c r="G8" s="6"/>
      <c r="H8" s="6"/>
      <c r="I8" s="6"/>
      <c r="J8" s="6"/>
      <c r="M8" s="137" t="s">
        <v>196</v>
      </c>
      <c r="N8" s="138">
        <v>54</v>
      </c>
      <c r="O8" s="138">
        <v>11</v>
      </c>
      <c r="P8" s="113">
        <f t="shared" ref="P8:P18" si="0">(O8/N8)-1</f>
        <v>-0.79629629629629628</v>
      </c>
    </row>
    <row r="9" spans="1:16">
      <c r="A9" t="s">
        <v>45</v>
      </c>
      <c r="B9" s="131">
        <v>59898</v>
      </c>
      <c r="C9" s="131">
        <v>48179</v>
      </c>
      <c r="F9" s="7" t="s">
        <v>27</v>
      </c>
      <c r="G9" s="8">
        <v>15271</v>
      </c>
      <c r="H9" s="84">
        <f>G9/$B$34</f>
        <v>1.0633660608592717</v>
      </c>
      <c r="I9" s="8">
        <v>12138</v>
      </c>
      <c r="J9" s="84" t="e">
        <f>I9/$D$34</f>
        <v>#DIV/0!</v>
      </c>
      <c r="M9" s="112" t="s">
        <v>22</v>
      </c>
      <c r="N9" s="138">
        <v>954</v>
      </c>
      <c r="O9" s="138">
        <v>564</v>
      </c>
      <c r="P9" s="113">
        <f t="shared" si="0"/>
        <v>-0.4088050314465409</v>
      </c>
    </row>
    <row r="10" spans="1:16">
      <c r="A10" t="s">
        <v>199</v>
      </c>
      <c r="B10" s="131">
        <v>51288</v>
      </c>
      <c r="C10" s="131">
        <f>C9-C11</f>
        <v>40965</v>
      </c>
      <c r="G10" s="6"/>
      <c r="H10" s="84"/>
      <c r="I10" s="6"/>
      <c r="J10" s="84"/>
      <c r="M10" s="112" t="s">
        <v>241</v>
      </c>
      <c r="N10" s="138">
        <v>18384</v>
      </c>
      <c r="O10" s="138">
        <v>15310</v>
      </c>
      <c r="P10" s="113">
        <f t="shared" si="0"/>
        <v>-0.16721061792863356</v>
      </c>
    </row>
    <row r="11" spans="1:16">
      <c r="A11" t="s">
        <v>201</v>
      </c>
      <c r="B11" s="131">
        <v>8610</v>
      </c>
      <c r="C11" s="131">
        <v>7214</v>
      </c>
      <c r="F11" s="7" t="s">
        <v>32</v>
      </c>
      <c r="G11" s="8">
        <v>18250</v>
      </c>
      <c r="H11" s="84">
        <f>G11/$B$34</f>
        <v>1.2708028688809971</v>
      </c>
      <c r="I11" s="8">
        <v>13995</v>
      </c>
      <c r="J11" s="84" t="e">
        <f>I11/$D$34</f>
        <v>#DIV/0!</v>
      </c>
      <c r="M11" s="112" t="s">
        <v>105</v>
      </c>
      <c r="N11" s="138">
        <v>6279</v>
      </c>
      <c r="O11" s="138">
        <v>5414</v>
      </c>
      <c r="P11" s="113">
        <f t="shared" si="0"/>
        <v>-0.13776078993470298</v>
      </c>
    </row>
    <row r="12" spans="1:16">
      <c r="A12" t="s">
        <v>202</v>
      </c>
      <c r="B12" s="132">
        <v>-0.13</v>
      </c>
      <c r="C12" s="132">
        <f>(C9-B9)/B9</f>
        <v>-0.19564927042639152</v>
      </c>
      <c r="G12" s="6"/>
      <c r="H12" s="84"/>
      <c r="I12" s="6"/>
      <c r="J12" s="84"/>
      <c r="M12" s="112" t="s">
        <v>31</v>
      </c>
      <c r="N12" s="138">
        <v>104</v>
      </c>
      <c r="O12" s="138">
        <v>50</v>
      </c>
      <c r="P12" s="113">
        <f t="shared" si="0"/>
        <v>-0.51923076923076916</v>
      </c>
    </row>
    <row r="13" spans="1:16">
      <c r="B13" s="133"/>
      <c r="C13" s="133"/>
      <c r="F13" s="7" t="s">
        <v>36</v>
      </c>
      <c r="G13" s="8">
        <v>27494</v>
      </c>
      <c r="H13" s="84">
        <f>G13/$B$34</f>
        <v>1.914490634356939</v>
      </c>
      <c r="I13" s="8">
        <v>19695</v>
      </c>
      <c r="J13" s="84" t="e">
        <f>I13/$D$34</f>
        <v>#DIV/0!</v>
      </c>
      <c r="M13" s="112" t="s">
        <v>33</v>
      </c>
      <c r="N13" s="138">
        <v>54828</v>
      </c>
      <c r="O13" s="138">
        <v>46753</v>
      </c>
      <c r="P13" s="113">
        <f t="shared" si="0"/>
        <v>-0.14727876267600493</v>
      </c>
    </row>
    <row r="14" spans="1:16">
      <c r="B14" s="130" t="s">
        <v>242</v>
      </c>
      <c r="C14" s="130" t="s">
        <v>203</v>
      </c>
      <c r="G14" s="6"/>
      <c r="H14" s="84"/>
      <c r="I14" s="6"/>
      <c r="J14" s="84"/>
      <c r="M14" s="112" t="s">
        <v>35</v>
      </c>
      <c r="N14" s="138">
        <v>49</v>
      </c>
      <c r="O14" s="138">
        <v>31</v>
      </c>
      <c r="P14" s="113">
        <f t="shared" si="0"/>
        <v>-0.36734693877551017</v>
      </c>
    </row>
    <row r="15" spans="1:16">
      <c r="A15" t="s">
        <v>43</v>
      </c>
      <c r="B15" s="131">
        <v>3229</v>
      </c>
      <c r="C15" s="131">
        <f>C17/16</f>
        <v>2542.6875</v>
      </c>
      <c r="F15" s="7" t="s">
        <v>243</v>
      </c>
      <c r="G15" s="8">
        <v>36119</v>
      </c>
      <c r="H15" s="84">
        <f>G15/$B$34</f>
        <v>2.5150755518417935</v>
      </c>
      <c r="I15" s="8">
        <v>30444</v>
      </c>
      <c r="J15" s="84" t="e">
        <f>I15/$D$34</f>
        <v>#DIV/0!</v>
      </c>
      <c r="M15" s="112" t="s">
        <v>37</v>
      </c>
      <c r="N15" s="138">
        <v>2658</v>
      </c>
      <c r="O15" s="138">
        <v>1688</v>
      </c>
      <c r="P15" s="113">
        <f t="shared" si="0"/>
        <v>-0.36493604213694508</v>
      </c>
    </row>
    <row r="16" spans="1:16">
      <c r="A16" t="s">
        <v>244</v>
      </c>
      <c r="B16" s="132">
        <v>-0.34</v>
      </c>
      <c r="C16" s="132">
        <f>(C15-B15)/B15</f>
        <v>-0.21254645401052957</v>
      </c>
      <c r="G16" s="6"/>
      <c r="H16" s="84"/>
      <c r="I16" s="6"/>
      <c r="J16" s="84"/>
      <c r="M16" s="112" t="s">
        <v>41</v>
      </c>
      <c r="N16" s="138">
        <v>7136</v>
      </c>
      <c r="O16" s="138">
        <v>6077</v>
      </c>
      <c r="P16" s="113">
        <f t="shared" si="0"/>
        <v>-0.14840246636771304</v>
      </c>
    </row>
    <row r="17" spans="1:16">
      <c r="A17" t="s">
        <v>45</v>
      </c>
      <c r="B17" s="131">
        <v>51665</v>
      </c>
      <c r="C17" s="131">
        <v>40683</v>
      </c>
      <c r="F17" s="149" t="s">
        <v>47</v>
      </c>
      <c r="G17" s="10">
        <f>SUM(G9:G16)</f>
        <v>97134</v>
      </c>
      <c r="H17" s="85">
        <f>G17/$B$34</f>
        <v>6.7637351159390011</v>
      </c>
      <c r="I17" s="10">
        <f>SUM(I9:I15)</f>
        <v>76272</v>
      </c>
      <c r="J17" s="85" t="e">
        <f>I17/$D$34</f>
        <v>#DIV/0!</v>
      </c>
      <c r="M17" s="112" t="s">
        <v>44</v>
      </c>
      <c r="N17" s="138">
        <v>270</v>
      </c>
      <c r="O17" s="138">
        <v>169</v>
      </c>
      <c r="P17" s="113">
        <f t="shared" si="0"/>
        <v>-0.37407407407407411</v>
      </c>
    </row>
    <row r="18" spans="1:16">
      <c r="A18" t="s">
        <v>199</v>
      </c>
      <c r="B18" s="131">
        <v>45263</v>
      </c>
      <c r="C18" s="131">
        <f>C17-C19</f>
        <v>34925</v>
      </c>
      <c r="G18" s="6"/>
      <c r="H18" s="84"/>
      <c r="I18" s="6"/>
      <c r="J18" s="84"/>
      <c r="M18" s="112" t="s">
        <v>162</v>
      </c>
      <c r="N18" s="138">
        <v>33751</v>
      </c>
      <c r="O18" s="138">
        <v>19614</v>
      </c>
      <c r="P18" s="113">
        <f t="shared" si="0"/>
        <v>-0.41886166335812269</v>
      </c>
    </row>
    <row r="19" spans="1:16">
      <c r="A19" t="s">
        <v>201</v>
      </c>
      <c r="B19" s="131">
        <v>6402</v>
      </c>
      <c r="C19" s="131">
        <v>5758</v>
      </c>
      <c r="F19" s="7" t="s">
        <v>51</v>
      </c>
      <c r="G19" s="8">
        <v>12026</v>
      </c>
      <c r="H19" s="84">
        <f>G19/$B$34</f>
        <v>0.83740686581714363</v>
      </c>
      <c r="I19" s="8">
        <v>8594</v>
      </c>
      <c r="J19" s="84" t="e">
        <f>I19/$D$34</f>
        <v>#DIV/0!</v>
      </c>
      <c r="M19" s="112" t="s">
        <v>245</v>
      </c>
      <c r="N19" s="138">
        <v>48</v>
      </c>
      <c r="O19" s="153" t="s">
        <v>240</v>
      </c>
      <c r="P19" s="154" t="s">
        <v>240</v>
      </c>
    </row>
    <row r="20" spans="1:16">
      <c r="A20" t="s">
        <v>244</v>
      </c>
      <c r="B20" s="132">
        <v>-0.28999999999999998</v>
      </c>
      <c r="C20" s="132">
        <f>(C17-B17)/B17</f>
        <v>-0.21256169553856577</v>
      </c>
      <c r="G20" s="6"/>
      <c r="H20" s="84"/>
      <c r="I20" s="6"/>
      <c r="J20" s="84"/>
      <c r="M20" s="112" t="s">
        <v>246</v>
      </c>
      <c r="N20" s="138">
        <v>80</v>
      </c>
      <c r="O20" s="138">
        <v>61</v>
      </c>
      <c r="P20" s="113">
        <f t="shared" ref="P20:P31" si="1">(O20/N20)-1</f>
        <v>-0.23750000000000004</v>
      </c>
    </row>
    <row r="21" spans="1:16">
      <c r="B21" s="133"/>
      <c r="C21" s="133"/>
      <c r="F21" s="7" t="s">
        <v>54</v>
      </c>
      <c r="G21" s="8">
        <v>1570</v>
      </c>
      <c r="H21" s="84">
        <f>G21/$B$34</f>
        <v>0.10932386324072139</v>
      </c>
      <c r="I21" s="8">
        <v>1429</v>
      </c>
      <c r="J21" s="84" t="e">
        <f>I21/$D$34</f>
        <v>#DIV/0!</v>
      </c>
      <c r="M21" s="112" t="s">
        <v>50</v>
      </c>
      <c r="N21" s="138">
        <v>382</v>
      </c>
      <c r="O21" s="138">
        <v>156</v>
      </c>
      <c r="P21" s="113">
        <f t="shared" si="1"/>
        <v>-0.59162303664921467</v>
      </c>
    </row>
    <row r="22" spans="1:16">
      <c r="B22" s="130" t="s">
        <v>247</v>
      </c>
      <c r="C22" s="130" t="s">
        <v>248</v>
      </c>
      <c r="G22" s="6"/>
      <c r="H22" s="84"/>
      <c r="I22" s="6"/>
      <c r="J22" s="84"/>
      <c r="M22" s="112" t="s">
        <v>115</v>
      </c>
      <c r="N22" s="138">
        <v>2930</v>
      </c>
      <c r="O22" s="138">
        <v>3338</v>
      </c>
      <c r="P22" s="113">
        <f t="shared" si="1"/>
        <v>0.13924914675767908</v>
      </c>
    </row>
    <row r="23" spans="1:16">
      <c r="A23" t="s">
        <v>43</v>
      </c>
      <c r="B23" s="131">
        <v>1642</v>
      </c>
      <c r="C23" s="131">
        <f>C25/8</f>
        <v>1665.75</v>
      </c>
      <c r="F23" s="149" t="s">
        <v>59</v>
      </c>
      <c r="G23" s="10">
        <f>G19+G21</f>
        <v>13596</v>
      </c>
      <c r="H23" s="85">
        <f>G23/$B$34</f>
        <v>0.94673072905786504</v>
      </c>
      <c r="I23" s="10">
        <f>SUM(I19:I21)</f>
        <v>10023</v>
      </c>
      <c r="J23" s="85" t="e">
        <f>I23/$D$34</f>
        <v>#DIV/0!</v>
      </c>
      <c r="M23" s="112" t="s">
        <v>52</v>
      </c>
      <c r="N23" s="138">
        <v>1383</v>
      </c>
      <c r="O23" s="138">
        <v>1407</v>
      </c>
      <c r="P23" s="113">
        <f t="shared" si="1"/>
        <v>1.7353579175704903E-2</v>
      </c>
    </row>
    <row r="24" spans="1:16">
      <c r="A24" t="s">
        <v>249</v>
      </c>
      <c r="B24" s="132">
        <v>-0.1</v>
      </c>
      <c r="C24" s="132">
        <f>-(C23-B23)/B23</f>
        <v>-1.446406820950061E-2</v>
      </c>
      <c r="G24" s="6"/>
      <c r="H24" s="84"/>
      <c r="I24" s="6"/>
      <c r="J24" s="84"/>
      <c r="M24" s="112" t="s">
        <v>250</v>
      </c>
      <c r="N24" s="138">
        <v>88</v>
      </c>
      <c r="O24" s="138">
        <v>30</v>
      </c>
      <c r="P24" s="113">
        <f t="shared" si="1"/>
        <v>-0.65909090909090917</v>
      </c>
    </row>
    <row r="25" spans="1:16">
      <c r="A25" t="s">
        <v>45</v>
      </c>
      <c r="B25" s="131">
        <v>13134</v>
      </c>
      <c r="C25" s="131">
        <v>13326</v>
      </c>
      <c r="F25" s="149" t="s">
        <v>62</v>
      </c>
      <c r="G25" s="10">
        <f>G17+G23</f>
        <v>110730</v>
      </c>
      <c r="H25" s="85">
        <f>G25/$B$34</f>
        <v>7.7104658449968664</v>
      </c>
      <c r="I25" s="10">
        <f>I17+I23</f>
        <v>86295</v>
      </c>
      <c r="J25" s="85" t="e">
        <f>I25/$D$34</f>
        <v>#DIV/0!</v>
      </c>
      <c r="M25" s="112" t="s">
        <v>55</v>
      </c>
      <c r="N25" s="138">
        <v>843</v>
      </c>
      <c r="O25" s="138">
        <v>827</v>
      </c>
      <c r="P25" s="113">
        <f t="shared" si="1"/>
        <v>-1.8979833926453193E-2</v>
      </c>
    </row>
    <row r="26" spans="1:16">
      <c r="A26" t="s">
        <v>199</v>
      </c>
      <c r="B26" s="131">
        <v>11980</v>
      </c>
      <c r="C26" s="131">
        <f>C25-C27</f>
        <v>12211</v>
      </c>
      <c r="G26" s="6"/>
      <c r="H26" s="84"/>
      <c r="I26" s="6"/>
      <c r="J26" s="84"/>
      <c r="M26" s="112" t="s">
        <v>67</v>
      </c>
      <c r="N26" s="138">
        <v>1054</v>
      </c>
      <c r="O26" s="138">
        <v>1076</v>
      </c>
      <c r="P26" s="113">
        <f t="shared" si="1"/>
        <v>2.0872865275142205E-2</v>
      </c>
    </row>
    <row r="27" spans="1:16">
      <c r="A27" t="s">
        <v>201</v>
      </c>
      <c r="B27" s="131">
        <v>1154</v>
      </c>
      <c r="C27" s="131">
        <v>1115</v>
      </c>
      <c r="F27" s="7" t="s">
        <v>65</v>
      </c>
      <c r="G27" s="8">
        <v>18113</v>
      </c>
      <c r="H27" s="84">
        <f>G27/$B$34</f>
        <v>1.2612631432351507</v>
      </c>
      <c r="I27" s="8">
        <v>12669</v>
      </c>
      <c r="J27" s="84" t="e">
        <f>I27/$D$34</f>
        <v>#DIV/0!</v>
      </c>
      <c r="M27" s="112" t="s">
        <v>210</v>
      </c>
      <c r="N27" s="138">
        <v>9756</v>
      </c>
      <c r="O27" s="138">
        <v>8462</v>
      </c>
      <c r="P27" s="113">
        <f t="shared" si="1"/>
        <v>-0.13263632636326361</v>
      </c>
    </row>
    <row r="28" spans="1:16">
      <c r="A28" t="s">
        <v>249</v>
      </c>
      <c r="B28" s="132">
        <v>0.45</v>
      </c>
      <c r="C28" s="132">
        <f>(C25-B25)/B25</f>
        <v>1.4618547281863865E-2</v>
      </c>
      <c r="G28" s="6"/>
      <c r="H28" s="84"/>
      <c r="I28" s="6"/>
      <c r="J28" s="84"/>
      <c r="M28" s="112" t="s">
        <v>212</v>
      </c>
      <c r="N28" s="138">
        <v>302</v>
      </c>
      <c r="O28" s="138">
        <v>283</v>
      </c>
      <c r="P28" s="113">
        <f t="shared" si="1"/>
        <v>-6.29139072847682E-2</v>
      </c>
    </row>
    <row r="29" spans="1:16">
      <c r="B29" s="133"/>
      <c r="C29" s="133"/>
      <c r="F29" t="s">
        <v>251</v>
      </c>
      <c r="G29" s="8">
        <v>7495</v>
      </c>
      <c r="H29" s="84">
        <f>G29/$B$34</f>
        <v>0.52189958916509993</v>
      </c>
      <c r="I29" s="8">
        <v>6247</v>
      </c>
      <c r="J29" s="84" t="e">
        <f t="shared" ref="J29" si="2">I29/$D$34</f>
        <v>#DIV/0!</v>
      </c>
      <c r="M29" s="112" t="s">
        <v>113</v>
      </c>
      <c r="N29" s="138">
        <v>35</v>
      </c>
      <c r="O29" s="138">
        <v>49</v>
      </c>
      <c r="P29" s="113">
        <f t="shared" si="1"/>
        <v>0.39999999999999991</v>
      </c>
    </row>
    <row r="30" spans="1:16">
      <c r="B30" s="130" t="s">
        <v>252</v>
      </c>
      <c r="C30" s="130" t="s">
        <v>253</v>
      </c>
      <c r="G30" s="6"/>
      <c r="H30" s="84"/>
      <c r="I30" s="6"/>
      <c r="J30" s="84"/>
      <c r="M30" s="112" t="s">
        <v>63</v>
      </c>
      <c r="N30" s="138">
        <v>50</v>
      </c>
      <c r="O30" s="138">
        <v>36</v>
      </c>
      <c r="P30" s="113">
        <f t="shared" si="1"/>
        <v>-0.28000000000000003</v>
      </c>
    </row>
    <row r="31" spans="1:16">
      <c r="A31" t="s">
        <v>43</v>
      </c>
      <c r="B31" s="131">
        <v>2188</v>
      </c>
      <c r="C31" s="131">
        <f>C33/8</f>
        <v>1207.25</v>
      </c>
      <c r="F31" s="7" t="s">
        <v>254</v>
      </c>
      <c r="G31" s="8">
        <v>5863</v>
      </c>
      <c r="H31" s="84">
        <f>G31/$B$34</f>
        <v>0.40825847782187868</v>
      </c>
      <c r="I31" s="8">
        <v>6635</v>
      </c>
      <c r="J31" s="84" t="e">
        <f>I31/$D$34</f>
        <v>#DIV/0!</v>
      </c>
      <c r="M31" s="141" t="s">
        <v>255</v>
      </c>
      <c r="N31" s="155">
        <v>98</v>
      </c>
      <c r="O31" s="155">
        <v>73</v>
      </c>
      <c r="P31" s="113">
        <f t="shared" si="1"/>
        <v>-0.25510204081632648</v>
      </c>
    </row>
    <row r="32" spans="1:16">
      <c r="A32" t="s">
        <v>256</v>
      </c>
      <c r="B32" s="132">
        <v>0.33</v>
      </c>
      <c r="C32" s="132">
        <f>(C31-B31)/B31</f>
        <v>-0.4482404021937843</v>
      </c>
      <c r="F32" s="2"/>
      <c r="G32" s="5"/>
      <c r="H32" s="85"/>
      <c r="I32" s="5"/>
      <c r="J32" s="5"/>
      <c r="M32" s="112"/>
      <c r="N32" s="138"/>
      <c r="O32" s="112"/>
      <c r="P32" s="142"/>
    </row>
    <row r="33" spans="1:16" ht="15.75">
      <c r="A33" t="s">
        <v>45</v>
      </c>
      <c r="B33" s="131">
        <v>17504</v>
      </c>
      <c r="C33" s="131">
        <v>9658</v>
      </c>
      <c r="G33" s="6"/>
      <c r="H33" s="84"/>
      <c r="I33" s="6"/>
      <c r="J33" s="6"/>
      <c r="M33" s="143" t="s">
        <v>74</v>
      </c>
      <c r="N33" s="156">
        <f>SUM(N6:N31)</f>
        <v>141606</v>
      </c>
      <c r="O33" s="156">
        <f>SUM(O6:O32)</f>
        <v>111846</v>
      </c>
      <c r="P33" s="157">
        <f>(O33/N33)-1</f>
        <v>-0.2101605864158298</v>
      </c>
    </row>
    <row r="34" spans="1:16" ht="15.75">
      <c r="A34" t="s">
        <v>199</v>
      </c>
      <c r="B34" s="131">
        <v>14361</v>
      </c>
      <c r="C34" s="131">
        <f>C33-C35</f>
        <v>8371</v>
      </c>
      <c r="F34" s="3" t="s">
        <v>76</v>
      </c>
      <c r="G34" s="147">
        <f>SUM(G25:G31)</f>
        <v>142201</v>
      </c>
      <c r="H34" s="15">
        <f>SUM(H25+H27+H29+H31)</f>
        <v>9.9018870552189959</v>
      </c>
      <c r="I34" s="147">
        <f>SUM(I25+I27+I29+I31)</f>
        <v>111846</v>
      </c>
      <c r="J34" s="15" t="e">
        <f>SUM(J25+J27+J29+J31)</f>
        <v>#DIV/0!</v>
      </c>
      <c r="M34" s="144"/>
      <c r="N34" s="158"/>
      <c r="O34" s="158"/>
      <c r="P34" s="145"/>
    </row>
    <row r="35" spans="1:16" ht="15.75">
      <c r="A35" t="s">
        <v>201</v>
      </c>
      <c r="B35" s="131">
        <v>3143</v>
      </c>
      <c r="C35" s="131">
        <v>1287</v>
      </c>
      <c r="F35" s="2"/>
      <c r="G35" s="2"/>
      <c r="H35" s="2"/>
      <c r="I35" s="2"/>
      <c r="J35" s="2"/>
      <c r="M35" s="143"/>
      <c r="N35" s="146"/>
      <c r="O35" s="146"/>
      <c r="P35" s="113"/>
    </row>
    <row r="36" spans="1:16">
      <c r="A36" t="s">
        <v>256</v>
      </c>
      <c r="B36" s="132">
        <v>1.1399999999999999</v>
      </c>
      <c r="C36" s="132">
        <f>(C33-B33)/B33</f>
        <v>-0.4482404021937843</v>
      </c>
      <c r="M36" s="112" t="s">
        <v>257</v>
      </c>
      <c r="N36" s="112"/>
      <c r="O36" s="112"/>
      <c r="P36" s="113"/>
    </row>
    <row r="37" spans="1:16">
      <c r="B37" s="133"/>
      <c r="C37" s="133"/>
      <c r="M37" s="112" t="s">
        <v>258</v>
      </c>
      <c r="N37" s="112"/>
      <c r="O37" s="112"/>
      <c r="P37" s="113"/>
    </row>
    <row r="38" spans="1:16">
      <c r="A38" s="3" t="s">
        <v>224</v>
      </c>
      <c r="B38" s="148">
        <f>B9+B17+B25+B33</f>
        <v>142201</v>
      </c>
      <c r="C38" s="148">
        <f>C9+C17+C25+C33</f>
        <v>111846</v>
      </c>
      <c r="F38" s="150" t="s">
        <v>259</v>
      </c>
      <c r="G38" s="150"/>
      <c r="H38" s="150"/>
      <c r="I38" s="150"/>
      <c r="J38" s="150"/>
      <c r="M38" s="112" t="s">
        <v>260</v>
      </c>
      <c r="N38" s="112"/>
      <c r="O38" s="112"/>
      <c r="P38" s="113"/>
    </row>
    <row r="39" spans="1:16">
      <c r="M39" s="112" t="s">
        <v>261</v>
      </c>
      <c r="N39" s="112"/>
      <c r="O39" s="112"/>
      <c r="P39" s="113"/>
    </row>
    <row r="40" spans="1:16">
      <c r="M40" s="112" t="s">
        <v>262</v>
      </c>
      <c r="N40" s="112"/>
      <c r="O40" s="112"/>
      <c r="P40" s="113"/>
    </row>
    <row r="41" spans="1:16">
      <c r="M41" s="219" t="s">
        <v>263</v>
      </c>
      <c r="N41" s="219"/>
      <c r="O41" s="219"/>
      <c r="P41" s="219"/>
    </row>
  </sheetData>
  <mergeCells count="8">
    <mergeCell ref="M3:P3"/>
    <mergeCell ref="M41:P41"/>
    <mergeCell ref="A1:C1"/>
    <mergeCell ref="A2:C2"/>
    <mergeCell ref="F1:J1"/>
    <mergeCell ref="F2:J2"/>
    <mergeCell ref="M1:P1"/>
    <mergeCell ref="M2:P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F10C-4137-4205-AA6B-2D1F92FB256E}">
  <dimension ref="A1:Q39"/>
  <sheetViews>
    <sheetView topLeftCell="N1" workbookViewId="0">
      <selection activeCell="N1" sqref="N1"/>
    </sheetView>
  </sheetViews>
  <sheetFormatPr defaultRowHeight="15"/>
  <cols>
    <col min="14" max="14" width="77" bestFit="1" customWidth="1"/>
  </cols>
  <sheetData>
    <row r="1" spans="1:17" ht="21">
      <c r="A1" s="207" t="s">
        <v>94</v>
      </c>
      <c r="B1" s="207"/>
      <c r="C1" s="207"/>
      <c r="F1" s="197" t="s">
        <v>95</v>
      </c>
      <c r="G1" s="197"/>
      <c r="H1" s="197"/>
      <c r="I1" s="197"/>
      <c r="J1" s="197"/>
      <c r="N1" s="220" t="s">
        <v>96</v>
      </c>
      <c r="O1" s="220"/>
      <c r="P1" s="220"/>
      <c r="Q1" s="220"/>
    </row>
    <row r="2" spans="1:17" ht="15.75">
      <c r="A2" s="208" t="s">
        <v>264</v>
      </c>
      <c r="B2" s="208"/>
      <c r="C2" s="208"/>
      <c r="F2" s="208" t="s">
        <v>265</v>
      </c>
      <c r="G2" s="208"/>
      <c r="H2" s="208"/>
      <c r="I2" s="208"/>
      <c r="J2" s="208"/>
      <c r="N2" s="212" t="s">
        <v>5</v>
      </c>
      <c r="O2" s="212"/>
      <c r="P2" s="212"/>
      <c r="Q2" s="212"/>
    </row>
    <row r="3" spans="1:17" ht="15.75">
      <c r="F3" s="2"/>
      <c r="G3" s="2"/>
      <c r="H3" s="2"/>
      <c r="I3" s="2"/>
      <c r="J3" s="2"/>
      <c r="N3" s="212" t="s">
        <v>266</v>
      </c>
      <c r="O3" s="212"/>
      <c r="P3" s="212"/>
      <c r="Q3" s="212"/>
    </row>
    <row r="4" spans="1:17" ht="15.75">
      <c r="F4" s="159"/>
      <c r="G4" s="159"/>
      <c r="H4" s="159"/>
      <c r="I4" s="159"/>
      <c r="J4" s="159"/>
      <c r="N4" s="98"/>
      <c r="O4" s="98"/>
      <c r="P4" s="98"/>
      <c r="Q4" s="98"/>
    </row>
    <row r="5" spans="1:17" ht="32.25">
      <c r="B5" s="130" t="s">
        <v>267</v>
      </c>
      <c r="C5" s="130" t="s">
        <v>233</v>
      </c>
      <c r="F5" s="160" t="s">
        <v>11</v>
      </c>
      <c r="G5" s="129" t="s">
        <v>12</v>
      </c>
      <c r="H5" s="129" t="s">
        <v>13</v>
      </c>
      <c r="I5" s="129" t="s">
        <v>12</v>
      </c>
      <c r="J5" s="129" t="s">
        <v>13</v>
      </c>
      <c r="N5" s="151" t="s">
        <v>234</v>
      </c>
      <c r="O5" s="128" t="s">
        <v>268</v>
      </c>
      <c r="P5" s="128" t="s">
        <v>235</v>
      </c>
      <c r="Q5" s="152" t="s">
        <v>10</v>
      </c>
    </row>
    <row r="6" spans="1:17" ht="15.75">
      <c r="B6" s="130" t="s">
        <v>269</v>
      </c>
      <c r="C6" s="130" t="s">
        <v>236</v>
      </c>
      <c r="F6" s="160"/>
      <c r="G6" s="129" t="s">
        <v>270</v>
      </c>
      <c r="H6" s="129" t="s">
        <v>19</v>
      </c>
      <c r="I6" s="129" t="s">
        <v>271</v>
      </c>
      <c r="J6" s="129" t="s">
        <v>19</v>
      </c>
      <c r="N6" s="137" t="s">
        <v>66</v>
      </c>
      <c r="O6" s="171" t="s">
        <v>272</v>
      </c>
      <c r="P6" s="153">
        <v>20</v>
      </c>
      <c r="Q6" s="154" t="s">
        <v>272</v>
      </c>
    </row>
    <row r="7" spans="1:17" ht="15.75">
      <c r="A7" t="s">
        <v>43</v>
      </c>
      <c r="B7" s="131">
        <v>4586</v>
      </c>
      <c r="C7" s="131">
        <f>C9/16</f>
        <v>3743.625</v>
      </c>
      <c r="F7" s="161"/>
      <c r="G7" s="162"/>
      <c r="H7" s="162"/>
      <c r="I7" s="162"/>
      <c r="J7" s="162"/>
      <c r="N7" s="137" t="s">
        <v>273</v>
      </c>
      <c r="O7" s="138">
        <v>97</v>
      </c>
      <c r="P7" s="138">
        <v>70</v>
      </c>
      <c r="Q7" s="113">
        <f t="shared" ref="Q7:Q31" si="0">(P7/O7)-1</f>
        <v>-0.27835051546391754</v>
      </c>
    </row>
    <row r="8" spans="1:17" ht="15.75">
      <c r="A8" t="s">
        <v>198</v>
      </c>
      <c r="B8" s="132">
        <v>-0.09</v>
      </c>
      <c r="C8" s="132">
        <f>(C7-B7)/B7</f>
        <v>-0.18368403837767117</v>
      </c>
      <c r="F8" s="159"/>
      <c r="G8" s="163"/>
      <c r="H8" s="163"/>
      <c r="I8" s="163"/>
      <c r="J8" s="163"/>
      <c r="N8" s="137" t="s">
        <v>274</v>
      </c>
      <c r="O8" s="138">
        <v>73</v>
      </c>
      <c r="P8" s="138">
        <v>54</v>
      </c>
      <c r="Q8" s="113">
        <f t="shared" si="0"/>
        <v>-0.26027397260273977</v>
      </c>
    </row>
    <row r="9" spans="1:17" ht="15.75">
      <c r="A9" t="s">
        <v>45</v>
      </c>
      <c r="B9" s="131">
        <v>68784</v>
      </c>
      <c r="C9" s="131">
        <v>59898</v>
      </c>
      <c r="F9" s="164" t="s">
        <v>27</v>
      </c>
      <c r="G9" s="165">
        <v>17510</v>
      </c>
      <c r="H9" s="166">
        <v>0.11</v>
      </c>
      <c r="I9" s="165">
        <v>15271</v>
      </c>
      <c r="J9" s="166" t="e">
        <f>I9/$D$32</f>
        <v>#DIV/0!</v>
      </c>
      <c r="N9" s="112" t="s">
        <v>275</v>
      </c>
      <c r="O9" s="138">
        <v>1009</v>
      </c>
      <c r="P9" s="138">
        <v>954</v>
      </c>
      <c r="Q9" s="113">
        <f t="shared" si="0"/>
        <v>-5.4509415262636307E-2</v>
      </c>
    </row>
    <row r="10" spans="1:17" ht="15.75">
      <c r="A10" t="s">
        <v>199</v>
      </c>
      <c r="B10" s="131">
        <v>57907</v>
      </c>
      <c r="C10" s="131">
        <f>C9-C11</f>
        <v>51288</v>
      </c>
      <c r="F10" s="159"/>
      <c r="G10" s="163"/>
      <c r="H10" s="166"/>
      <c r="I10" s="163"/>
      <c r="J10" s="166"/>
      <c r="N10" s="112" t="s">
        <v>276</v>
      </c>
      <c r="O10" s="138">
        <v>23491</v>
      </c>
      <c r="P10" s="138">
        <v>18384</v>
      </c>
      <c r="Q10" s="113">
        <f t="shared" si="0"/>
        <v>-0.21740240943340006</v>
      </c>
    </row>
    <row r="11" spans="1:17" ht="15.75">
      <c r="A11" t="s">
        <v>201</v>
      </c>
      <c r="B11" s="131">
        <v>10877</v>
      </c>
      <c r="C11" s="131">
        <v>8610</v>
      </c>
      <c r="F11" s="164" t="s">
        <v>32</v>
      </c>
      <c r="G11" s="165">
        <v>26672</v>
      </c>
      <c r="H11" s="166">
        <v>0.17</v>
      </c>
      <c r="I11" s="165">
        <v>18250</v>
      </c>
      <c r="J11" s="166" t="e">
        <f>I11/$D$32</f>
        <v>#DIV/0!</v>
      </c>
      <c r="N11" s="112" t="s">
        <v>277</v>
      </c>
      <c r="O11" s="138">
        <v>8514</v>
      </c>
      <c r="P11" s="138">
        <v>6279</v>
      </c>
      <c r="Q11" s="113">
        <f t="shared" si="0"/>
        <v>-0.26250880902043694</v>
      </c>
    </row>
    <row r="12" spans="1:17" ht="15.75">
      <c r="A12" t="s">
        <v>202</v>
      </c>
      <c r="B12" s="132">
        <v>0.01</v>
      </c>
      <c r="C12" s="132">
        <f>(C9-B9)/B9</f>
        <v>-0.12918702023726447</v>
      </c>
      <c r="F12" s="159"/>
      <c r="G12" s="163"/>
      <c r="H12" s="166"/>
      <c r="I12" s="163"/>
      <c r="J12" s="166"/>
      <c r="N12" s="112" t="s">
        <v>278</v>
      </c>
      <c r="O12" s="138">
        <v>151</v>
      </c>
      <c r="P12" s="138">
        <v>104</v>
      </c>
      <c r="Q12" s="113">
        <f t="shared" si="0"/>
        <v>-0.3112582781456954</v>
      </c>
    </row>
    <row r="13" spans="1:17" ht="15.75">
      <c r="B13" s="133"/>
      <c r="C13" s="133"/>
      <c r="F13" s="164" t="s">
        <v>36</v>
      </c>
      <c r="G13" s="165">
        <v>32597</v>
      </c>
      <c r="H13" s="166">
        <v>0.2</v>
      </c>
      <c r="I13" s="165">
        <v>27494</v>
      </c>
      <c r="J13" s="166" t="e">
        <f>I13/$D$32</f>
        <v>#DIV/0!</v>
      </c>
      <c r="N13" s="112" t="s">
        <v>279</v>
      </c>
      <c r="O13" s="138">
        <v>47703</v>
      </c>
      <c r="P13" s="138">
        <v>54828</v>
      </c>
      <c r="Q13" s="113">
        <f t="shared" si="0"/>
        <v>0.14936167536632916</v>
      </c>
    </row>
    <row r="14" spans="1:17" ht="15.75">
      <c r="B14" s="130" t="s">
        <v>280</v>
      </c>
      <c r="C14" s="130" t="s">
        <v>280</v>
      </c>
      <c r="F14" s="159"/>
      <c r="G14" s="163"/>
      <c r="H14" s="166"/>
      <c r="I14" s="163"/>
      <c r="J14" s="166"/>
      <c r="N14" s="112" t="s">
        <v>281</v>
      </c>
      <c r="O14" s="138">
        <v>82</v>
      </c>
      <c r="P14" s="138">
        <v>49</v>
      </c>
      <c r="Q14" s="113">
        <f t="shared" si="0"/>
        <v>-0.40243902439024393</v>
      </c>
    </row>
    <row r="15" spans="1:17" ht="15.75">
      <c r="A15" t="s">
        <v>43</v>
      </c>
      <c r="B15" s="131">
        <v>4879</v>
      </c>
      <c r="C15" s="131">
        <f>C17/16</f>
        <v>3229.0625</v>
      </c>
      <c r="F15" s="164" t="s">
        <v>161</v>
      </c>
      <c r="G15" s="165">
        <v>41504</v>
      </c>
      <c r="H15" s="166">
        <v>0.26</v>
      </c>
      <c r="I15" s="165">
        <v>34985</v>
      </c>
      <c r="J15" s="166" t="e">
        <f>I15/$D$32</f>
        <v>#DIV/0!</v>
      </c>
      <c r="N15" s="112" t="s">
        <v>282</v>
      </c>
      <c r="O15" s="138">
        <v>2493</v>
      </c>
      <c r="P15" s="138">
        <v>2658</v>
      </c>
      <c r="Q15" s="113">
        <f t="shared" si="0"/>
        <v>6.6185318892900025E-2</v>
      </c>
    </row>
    <row r="16" spans="1:17" ht="15.75">
      <c r="A16" t="s">
        <v>244</v>
      </c>
      <c r="B16" s="132">
        <v>-0.08</v>
      </c>
      <c r="C16" s="132">
        <f>(C15-B15)/B15</f>
        <v>-0.33817124410739907</v>
      </c>
      <c r="F16" s="159"/>
      <c r="G16" s="163"/>
      <c r="H16" s="166"/>
      <c r="I16" s="163"/>
      <c r="J16" s="166"/>
      <c r="N16" s="112" t="s">
        <v>283</v>
      </c>
      <c r="O16" s="138">
        <v>7919</v>
      </c>
      <c r="P16" s="138">
        <v>7136</v>
      </c>
      <c r="Q16" s="113">
        <f t="shared" si="0"/>
        <v>-9.8876120722313443E-2</v>
      </c>
    </row>
    <row r="17" spans="1:17" ht="15.75">
      <c r="A17" t="s">
        <v>45</v>
      </c>
      <c r="B17" s="131">
        <v>73193</v>
      </c>
      <c r="C17" s="131">
        <v>51665</v>
      </c>
      <c r="F17" s="161" t="s">
        <v>284</v>
      </c>
      <c r="G17" s="167">
        <f>SUM(G9:G16)</f>
        <v>118283</v>
      </c>
      <c r="H17" s="168">
        <v>0.74</v>
      </c>
      <c r="I17" s="167">
        <f>SUM(I9:I16)</f>
        <v>96000</v>
      </c>
      <c r="J17" s="168" t="e">
        <f>I17/$D$32</f>
        <v>#DIV/0!</v>
      </c>
      <c r="N17" s="112" t="s">
        <v>285</v>
      </c>
      <c r="O17" s="138">
        <v>291</v>
      </c>
      <c r="P17" s="138">
        <v>270</v>
      </c>
      <c r="Q17" s="113">
        <f t="shared" si="0"/>
        <v>-7.2164948453608213E-2</v>
      </c>
    </row>
    <row r="18" spans="1:17" ht="15.75">
      <c r="A18" t="s">
        <v>199</v>
      </c>
      <c r="B18" s="131">
        <v>62804</v>
      </c>
      <c r="C18" s="131">
        <f>C17-C19</f>
        <v>45263</v>
      </c>
      <c r="F18" s="159"/>
      <c r="G18" s="163"/>
      <c r="H18" s="166"/>
      <c r="I18" s="163"/>
      <c r="J18" s="166"/>
      <c r="N18" s="112" t="s">
        <v>286</v>
      </c>
      <c r="O18" s="138">
        <v>49892</v>
      </c>
      <c r="P18" s="138">
        <v>33751</v>
      </c>
      <c r="Q18" s="113">
        <f t="shared" si="0"/>
        <v>-0.32351880060931615</v>
      </c>
    </row>
    <row r="19" spans="1:17" ht="15.75">
      <c r="A19" t="s">
        <v>201</v>
      </c>
      <c r="B19" s="131">
        <v>10389</v>
      </c>
      <c r="C19" s="131">
        <v>6402</v>
      </c>
      <c r="F19" s="164" t="s">
        <v>51</v>
      </c>
      <c r="G19" s="165">
        <v>13360</v>
      </c>
      <c r="H19" s="166">
        <v>0.08</v>
      </c>
      <c r="I19" s="165">
        <v>12026</v>
      </c>
      <c r="J19" s="166" t="e">
        <f>I19/$D$32</f>
        <v>#DIV/0!</v>
      </c>
      <c r="N19" s="112" t="s">
        <v>287</v>
      </c>
      <c r="O19" s="138">
        <v>291</v>
      </c>
      <c r="P19" s="138">
        <v>48</v>
      </c>
      <c r="Q19" s="113">
        <f t="shared" si="0"/>
        <v>-0.83505154639175261</v>
      </c>
    </row>
    <row r="20" spans="1:17" ht="15.75">
      <c r="A20" t="s">
        <v>244</v>
      </c>
      <c r="B20" s="132">
        <v>0</v>
      </c>
      <c r="C20" s="132">
        <f>(C17-B17)/B17</f>
        <v>-0.2941264875056358</v>
      </c>
      <c r="F20" s="159"/>
      <c r="G20" s="163"/>
      <c r="H20" s="166"/>
      <c r="I20" s="163"/>
      <c r="J20" s="166"/>
      <c r="N20" s="112" t="s">
        <v>288</v>
      </c>
      <c r="O20" s="138">
        <v>66</v>
      </c>
      <c r="P20" s="138">
        <v>80</v>
      </c>
      <c r="Q20" s="113">
        <f t="shared" si="0"/>
        <v>0.21212121212121215</v>
      </c>
    </row>
    <row r="21" spans="1:17" ht="15.75">
      <c r="B21" s="133"/>
      <c r="C21" s="133"/>
      <c r="F21" s="164" t="s">
        <v>54</v>
      </c>
      <c r="G21" s="165">
        <v>1927</v>
      </c>
      <c r="H21" s="166">
        <v>0.01</v>
      </c>
      <c r="I21" s="165">
        <v>1570</v>
      </c>
      <c r="J21" s="166" t="e">
        <f>I21/$D$32</f>
        <v>#DIV/0!</v>
      </c>
      <c r="N21" s="112" t="s">
        <v>289</v>
      </c>
      <c r="O21" s="138">
        <v>343</v>
      </c>
      <c r="P21" s="138">
        <v>382</v>
      </c>
      <c r="Q21" s="113">
        <f t="shared" si="0"/>
        <v>0.1137026239067056</v>
      </c>
    </row>
    <row r="22" spans="1:17" ht="15.75">
      <c r="B22" s="130" t="s">
        <v>209</v>
      </c>
      <c r="C22" s="130" t="s">
        <v>209</v>
      </c>
      <c r="F22" s="159"/>
      <c r="G22" s="163"/>
      <c r="H22" s="166"/>
      <c r="I22" s="163"/>
      <c r="J22" s="166"/>
      <c r="N22" s="112" t="s">
        <v>115</v>
      </c>
      <c r="O22" s="138">
        <v>4141</v>
      </c>
      <c r="P22" s="138">
        <v>2930</v>
      </c>
      <c r="Q22" s="113">
        <f t="shared" si="0"/>
        <v>-0.29244143926587784</v>
      </c>
    </row>
    <row r="23" spans="1:17" ht="15.75">
      <c r="A23" t="s">
        <v>43</v>
      </c>
      <c r="B23" s="131">
        <v>1817</v>
      </c>
      <c r="C23" s="131">
        <f>C25/8</f>
        <v>1641.75</v>
      </c>
      <c r="F23" s="161" t="s">
        <v>290</v>
      </c>
      <c r="G23" s="167">
        <v>15287</v>
      </c>
      <c r="H23" s="168">
        <v>0.1</v>
      </c>
      <c r="I23" s="167">
        <f>SUM(I19:I22)</f>
        <v>13596</v>
      </c>
      <c r="J23" s="168" t="e">
        <f>I23/$D$32</f>
        <v>#DIV/0!</v>
      </c>
      <c r="N23" s="112" t="s">
        <v>291</v>
      </c>
      <c r="O23" s="138">
        <v>1066</v>
      </c>
      <c r="P23" s="138">
        <v>1383</v>
      </c>
      <c r="Q23" s="113">
        <f t="shared" si="0"/>
        <v>0.29737335834896816</v>
      </c>
    </row>
    <row r="24" spans="1:17" ht="15.75">
      <c r="A24" t="s">
        <v>249</v>
      </c>
      <c r="B24" s="132">
        <v>-0.38</v>
      </c>
      <c r="C24" s="132">
        <f>-(C23-B23)/B23</f>
        <v>9.6450192625206391E-2</v>
      </c>
      <c r="F24" s="159"/>
      <c r="G24" s="163"/>
      <c r="H24" s="166"/>
      <c r="I24" s="163"/>
      <c r="J24" s="166"/>
      <c r="N24" s="112" t="s">
        <v>292</v>
      </c>
      <c r="O24" s="138">
        <v>63</v>
      </c>
      <c r="P24" s="138">
        <v>88</v>
      </c>
      <c r="Q24" s="113">
        <f t="shared" si="0"/>
        <v>0.39682539682539675</v>
      </c>
    </row>
    <row r="25" spans="1:17" ht="15.75">
      <c r="A25" t="s">
        <v>45</v>
      </c>
      <c r="B25" s="131">
        <v>9087</v>
      </c>
      <c r="C25" s="131">
        <v>13134</v>
      </c>
      <c r="F25" s="161" t="s">
        <v>293</v>
      </c>
      <c r="G25" s="167">
        <f>SUM(G17:G23)</f>
        <v>148857</v>
      </c>
      <c r="H25" s="168">
        <v>0.84</v>
      </c>
      <c r="I25" s="167">
        <f>SUM(I17:I22)</f>
        <v>109596</v>
      </c>
      <c r="J25" s="168" t="e">
        <f>I25/$D$32</f>
        <v>#DIV/0!</v>
      </c>
      <c r="N25" s="112" t="s">
        <v>294</v>
      </c>
      <c r="O25" s="138">
        <v>758</v>
      </c>
      <c r="P25" s="138">
        <v>843</v>
      </c>
      <c r="Q25" s="113">
        <f t="shared" si="0"/>
        <v>0.11213720316622688</v>
      </c>
    </row>
    <row r="26" spans="1:17" ht="15.75">
      <c r="A26" t="s">
        <v>199</v>
      </c>
      <c r="B26" s="131">
        <v>7799</v>
      </c>
      <c r="C26" s="131">
        <f>C25-C27</f>
        <v>11980</v>
      </c>
      <c r="F26" s="159"/>
      <c r="G26" s="163"/>
      <c r="H26" s="166"/>
      <c r="I26" s="163"/>
      <c r="J26" s="166"/>
      <c r="N26" s="112" t="s">
        <v>67</v>
      </c>
      <c r="O26" s="138">
        <v>1268</v>
      </c>
      <c r="P26" s="138">
        <v>1054</v>
      </c>
      <c r="Q26" s="113">
        <f t="shared" si="0"/>
        <v>-0.16876971608832803</v>
      </c>
    </row>
    <row r="27" spans="1:17" ht="15.75">
      <c r="A27" t="s">
        <v>201</v>
      </c>
      <c r="B27" s="131">
        <v>1288</v>
      </c>
      <c r="C27" s="131">
        <v>1154</v>
      </c>
      <c r="F27" s="164" t="s">
        <v>295</v>
      </c>
      <c r="G27" s="165">
        <v>1128</v>
      </c>
      <c r="H27" s="166">
        <v>0.01</v>
      </c>
      <c r="I27" s="165">
        <v>18113</v>
      </c>
      <c r="J27" s="166" t="e">
        <f>I27/$D$32</f>
        <v>#DIV/0!</v>
      </c>
      <c r="N27" s="112" t="s">
        <v>296</v>
      </c>
      <c r="O27" s="138">
        <v>9119</v>
      </c>
      <c r="P27" s="138">
        <v>9756</v>
      </c>
      <c r="Q27" s="113">
        <f t="shared" si="0"/>
        <v>6.9854150674416138E-2</v>
      </c>
    </row>
    <row r="28" spans="1:17" ht="15.75">
      <c r="A28" t="s">
        <v>249</v>
      </c>
      <c r="B28" s="132">
        <v>-0.16</v>
      </c>
      <c r="C28" s="132">
        <f>(C25-B25)/B25</f>
        <v>0.44536150544734238</v>
      </c>
      <c r="F28" s="159"/>
      <c r="G28" s="163"/>
      <c r="H28" s="166"/>
      <c r="I28" s="163"/>
      <c r="J28" s="166"/>
      <c r="N28" s="112" t="s">
        <v>297</v>
      </c>
      <c r="O28" s="138">
        <v>383</v>
      </c>
      <c r="P28" s="138">
        <v>302</v>
      </c>
      <c r="Q28" s="113">
        <f t="shared" si="0"/>
        <v>-0.21148825065274146</v>
      </c>
    </row>
    <row r="29" spans="1:17" ht="15.75">
      <c r="B29" s="133"/>
      <c r="C29" s="133"/>
      <c r="F29" s="164" t="s">
        <v>298</v>
      </c>
      <c r="G29" s="165">
        <v>24563</v>
      </c>
      <c r="H29" s="166">
        <v>0.15</v>
      </c>
      <c r="I29" s="165">
        <v>13352</v>
      </c>
      <c r="J29" s="166" t="e">
        <f>I29/$D$32</f>
        <v>#DIV/0!</v>
      </c>
      <c r="N29" s="112" t="s">
        <v>299</v>
      </c>
      <c r="O29" s="138">
        <v>60</v>
      </c>
      <c r="P29" s="138">
        <v>35</v>
      </c>
      <c r="Q29" s="113">
        <f t="shared" si="0"/>
        <v>-0.41666666666666663</v>
      </c>
    </row>
    <row r="30" spans="1:17" ht="15.75">
      <c r="B30" s="130" t="s">
        <v>215</v>
      </c>
      <c r="C30" s="130" t="s">
        <v>215</v>
      </c>
      <c r="F30" s="161"/>
      <c r="G30" s="162"/>
      <c r="H30" s="168"/>
      <c r="I30" s="162"/>
      <c r="J30" s="162"/>
      <c r="N30" s="112" t="s">
        <v>300</v>
      </c>
      <c r="O30" s="138">
        <v>102</v>
      </c>
      <c r="P30" s="138">
        <v>50</v>
      </c>
      <c r="Q30" s="113">
        <f t="shared" si="0"/>
        <v>-0.50980392156862742</v>
      </c>
    </row>
    <row r="31" spans="1:17" ht="15.75">
      <c r="A31" t="s">
        <v>43</v>
      </c>
      <c r="B31" s="131">
        <v>1649</v>
      </c>
      <c r="C31" s="131">
        <f>C33/8</f>
        <v>2188</v>
      </c>
      <c r="F31" s="159"/>
      <c r="G31" s="163"/>
      <c r="H31" s="166"/>
      <c r="I31" s="163"/>
      <c r="J31" s="163"/>
      <c r="N31" s="141" t="s">
        <v>118</v>
      </c>
      <c r="O31" s="155">
        <v>773</v>
      </c>
      <c r="P31" s="155">
        <v>98</v>
      </c>
      <c r="Q31" s="113">
        <f t="shared" si="0"/>
        <v>-0.87322121604139713</v>
      </c>
    </row>
    <row r="32" spans="1:17" ht="15.75">
      <c r="A32" t="s">
        <v>256</v>
      </c>
      <c r="B32" s="132">
        <v>-0.33</v>
      </c>
      <c r="C32" s="132">
        <f>(C31-B31)/B31</f>
        <v>0.32686476652516677</v>
      </c>
      <c r="F32" s="160" t="s">
        <v>76</v>
      </c>
      <c r="G32" s="169">
        <f>SUM(G25:G29)</f>
        <v>174548</v>
      </c>
      <c r="H32" s="170">
        <v>1</v>
      </c>
      <c r="I32" s="169">
        <f>SUM(I25+I27+I29)</f>
        <v>141061</v>
      </c>
      <c r="J32" s="170" t="e">
        <f>SUM(J25+J27+J29)</f>
        <v>#DIV/0!</v>
      </c>
      <c r="N32" s="112"/>
      <c r="O32" s="112"/>
      <c r="P32" s="138"/>
      <c r="Q32" s="142"/>
    </row>
    <row r="33" spans="1:17" ht="15.75">
      <c r="A33" t="s">
        <v>45</v>
      </c>
      <c r="B33" s="131">
        <v>8165</v>
      </c>
      <c r="C33" s="131">
        <v>17504</v>
      </c>
      <c r="F33" s="2"/>
      <c r="G33" s="2"/>
      <c r="H33" s="2"/>
      <c r="I33" s="2"/>
      <c r="J33" s="2"/>
      <c r="N33" s="143" t="s">
        <v>74</v>
      </c>
      <c r="O33" s="146">
        <f>SUM(O7:O31)</f>
        <v>160148</v>
      </c>
      <c r="P33" s="156">
        <f>SUM(P6:P31)</f>
        <v>141606</v>
      </c>
      <c r="Q33" s="157">
        <f>(P33/O33)-1</f>
        <v>-0.11578040312710747</v>
      </c>
    </row>
    <row r="34" spans="1:17" ht="15.75">
      <c r="A34" t="s">
        <v>199</v>
      </c>
      <c r="B34" s="131">
        <v>7223</v>
      </c>
      <c r="C34" s="131">
        <f>C33-C35</f>
        <v>14361</v>
      </c>
      <c r="N34" s="144"/>
      <c r="O34" s="158"/>
      <c r="P34" s="158"/>
      <c r="Q34" s="145"/>
    </row>
    <row r="35" spans="1:17" ht="15.75">
      <c r="A35" t="s">
        <v>201</v>
      </c>
      <c r="B35" s="131">
        <v>942</v>
      </c>
      <c r="C35" s="131">
        <v>3143</v>
      </c>
      <c r="N35" s="143"/>
      <c r="O35" s="146"/>
      <c r="P35" s="146"/>
      <c r="Q35" s="113"/>
    </row>
    <row r="36" spans="1:17">
      <c r="A36" t="s">
        <v>256</v>
      </c>
      <c r="B36" s="132">
        <v>-0.12</v>
      </c>
      <c r="C36" s="132">
        <f>(C33-B33)/B33</f>
        <v>1.1437844458052664</v>
      </c>
      <c r="F36" s="206" t="s">
        <v>301</v>
      </c>
      <c r="G36" s="206"/>
      <c r="H36" s="206"/>
      <c r="I36" s="206"/>
      <c r="J36" s="206"/>
      <c r="N36" s="112" t="s">
        <v>302</v>
      </c>
      <c r="O36" s="112"/>
      <c r="P36" s="112"/>
      <c r="Q36" s="113"/>
    </row>
    <row r="37" spans="1:17">
      <c r="B37" s="133"/>
      <c r="C37" s="133"/>
      <c r="N37" s="112" t="s">
        <v>303</v>
      </c>
      <c r="O37" s="112"/>
      <c r="P37" s="112"/>
      <c r="Q37" s="113"/>
    </row>
    <row r="38" spans="1:17">
      <c r="A38" s="3" t="s">
        <v>224</v>
      </c>
      <c r="B38" s="131">
        <f>B9+B17+B25+B33</f>
        <v>159229</v>
      </c>
      <c r="C38" s="131">
        <f>C9+C17+C25+C33</f>
        <v>142201</v>
      </c>
      <c r="N38" s="219" t="s">
        <v>304</v>
      </c>
      <c r="O38" s="219"/>
      <c r="P38" s="219"/>
      <c r="Q38" s="219"/>
    </row>
    <row r="39" spans="1:17">
      <c r="Q39" s="172"/>
    </row>
  </sheetData>
  <mergeCells count="9">
    <mergeCell ref="N38:Q38"/>
    <mergeCell ref="A1:C1"/>
    <mergeCell ref="A2:C2"/>
    <mergeCell ref="F1:J1"/>
    <mergeCell ref="F2:J2"/>
    <mergeCell ref="F36:J36"/>
    <mergeCell ref="N1:Q1"/>
    <mergeCell ref="N2:Q2"/>
    <mergeCell ref="N3:Q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DF037-6214-449C-8921-C109B857DF71}">
  <dimension ref="A1:Q38"/>
  <sheetViews>
    <sheetView workbookViewId="0">
      <selection activeCell="M1" sqref="M1"/>
    </sheetView>
  </sheetViews>
  <sheetFormatPr defaultRowHeight="15"/>
  <cols>
    <col min="4" max="4" width="12.140625" bestFit="1" customWidth="1"/>
    <col min="10" max="10" width="8.5703125" bestFit="1" customWidth="1"/>
    <col min="13" max="13" width="13.140625" customWidth="1"/>
    <col min="15" max="15" width="13" customWidth="1"/>
    <col min="16" max="16" width="10.28515625" bestFit="1" customWidth="1"/>
  </cols>
  <sheetData>
    <row r="1" spans="1:17" ht="15.75">
      <c r="A1" s="208" t="s">
        <v>94</v>
      </c>
      <c r="B1" s="208"/>
      <c r="C1" s="208"/>
      <c r="D1" s="159"/>
      <c r="E1" s="159"/>
      <c r="F1" s="208" t="s">
        <v>95</v>
      </c>
      <c r="G1" s="208"/>
      <c r="H1" s="208"/>
      <c r="I1" s="208"/>
      <c r="J1" s="208"/>
      <c r="K1" s="159"/>
      <c r="M1" s="212" t="s">
        <v>96</v>
      </c>
      <c r="N1" s="212"/>
      <c r="O1" s="212"/>
      <c r="P1" s="212"/>
      <c r="Q1" s="159"/>
    </row>
    <row r="2" spans="1:17" ht="15.75">
      <c r="A2" s="208" t="s">
        <v>305</v>
      </c>
      <c r="B2" s="208"/>
      <c r="C2" s="208"/>
      <c r="D2" s="159"/>
      <c r="E2" s="159"/>
      <c r="F2" s="208" t="s">
        <v>306</v>
      </c>
      <c r="G2" s="208"/>
      <c r="H2" s="208"/>
      <c r="I2" s="208"/>
      <c r="J2" s="208"/>
      <c r="K2" s="159"/>
      <c r="M2" s="212" t="s">
        <v>307</v>
      </c>
      <c r="N2" s="212"/>
      <c r="O2" s="212"/>
      <c r="P2" s="212"/>
      <c r="Q2" s="159"/>
    </row>
    <row r="3" spans="1:17" ht="15.75">
      <c r="A3" s="159"/>
      <c r="B3" s="159"/>
      <c r="C3" s="159"/>
      <c r="D3" s="159"/>
      <c r="E3" s="159"/>
      <c r="F3" s="159"/>
      <c r="G3" s="159"/>
      <c r="H3" s="159"/>
      <c r="I3" s="159"/>
      <c r="J3" s="159"/>
      <c r="K3" s="159"/>
      <c r="M3" s="212" t="s">
        <v>308</v>
      </c>
      <c r="N3" s="212"/>
      <c r="O3" s="212"/>
      <c r="P3" s="212"/>
      <c r="Q3" s="159"/>
    </row>
    <row r="4" spans="1:17" ht="32.25">
      <c r="A4" s="159"/>
      <c r="B4" s="173" t="s">
        <v>309</v>
      </c>
      <c r="C4" s="173" t="s">
        <v>267</v>
      </c>
      <c r="D4" s="159"/>
      <c r="E4" s="159"/>
      <c r="F4" s="160" t="s">
        <v>11</v>
      </c>
      <c r="G4" s="129" t="s">
        <v>12</v>
      </c>
      <c r="H4" s="129" t="s">
        <v>13</v>
      </c>
      <c r="I4" s="129" t="s">
        <v>12</v>
      </c>
      <c r="J4" s="129" t="s">
        <v>13</v>
      </c>
      <c r="K4" s="159"/>
      <c r="M4" s="186" t="s">
        <v>234</v>
      </c>
      <c r="N4" s="187" t="s">
        <v>310</v>
      </c>
      <c r="O4" s="187" t="s">
        <v>268</v>
      </c>
      <c r="P4" s="188" t="s">
        <v>10</v>
      </c>
      <c r="Q4" s="159"/>
    </row>
    <row r="5" spans="1:17" ht="48.75">
      <c r="A5" s="159"/>
      <c r="B5" s="173" t="s">
        <v>311</v>
      </c>
      <c r="C5" s="173" t="s">
        <v>269</v>
      </c>
      <c r="D5" s="159"/>
      <c r="E5" s="159"/>
      <c r="F5" s="160"/>
      <c r="G5" s="129" t="s">
        <v>312</v>
      </c>
      <c r="H5" s="129" t="s">
        <v>19</v>
      </c>
      <c r="I5" s="129" t="s">
        <v>313</v>
      </c>
      <c r="J5" s="129" t="s">
        <v>19</v>
      </c>
      <c r="K5" s="159"/>
      <c r="M5" s="189" t="s">
        <v>273</v>
      </c>
      <c r="N5" s="190">
        <v>33</v>
      </c>
      <c r="O5" s="190">
        <v>97</v>
      </c>
      <c r="P5" s="191">
        <f>(O5/N5)-1</f>
        <v>1.9393939393939394</v>
      </c>
      <c r="Q5" s="159"/>
    </row>
    <row r="6" spans="1:17" ht="64.5">
      <c r="A6" s="159" t="s">
        <v>43</v>
      </c>
      <c r="B6" s="174">
        <v>4094</v>
      </c>
      <c r="C6" s="174">
        <v>4586</v>
      </c>
      <c r="D6" s="159"/>
      <c r="E6" s="159"/>
      <c r="F6" s="161"/>
      <c r="G6" s="162"/>
      <c r="H6" s="162"/>
      <c r="I6" s="162"/>
      <c r="J6" s="162"/>
      <c r="K6" s="159"/>
      <c r="M6" s="189" t="s">
        <v>274</v>
      </c>
      <c r="N6" s="190">
        <v>79</v>
      </c>
      <c r="O6" s="190">
        <v>73</v>
      </c>
      <c r="P6" s="191">
        <f t="shared" ref="P6:P30" si="0">(O6/N6)-1</f>
        <v>-7.5949367088607556E-2</v>
      </c>
      <c r="Q6" s="159"/>
    </row>
    <row r="7" spans="1:17" ht="15.75">
      <c r="A7" s="159" t="s">
        <v>198</v>
      </c>
      <c r="B7" s="175">
        <v>-0.09</v>
      </c>
      <c r="C7" s="175">
        <f>(C6-B6)/B6</f>
        <v>0.12017586712261846</v>
      </c>
      <c r="D7" s="159"/>
      <c r="E7" s="159"/>
      <c r="F7" s="159"/>
      <c r="G7" s="163"/>
      <c r="H7" s="163"/>
      <c r="I7" s="163"/>
      <c r="J7" s="163"/>
      <c r="K7" s="159"/>
      <c r="M7" s="192" t="s">
        <v>275</v>
      </c>
      <c r="N7" s="190">
        <v>1094</v>
      </c>
      <c r="O7" s="190">
        <v>1009</v>
      </c>
      <c r="P7" s="191">
        <f t="shared" si="0"/>
        <v>-7.7696526508226671E-2</v>
      </c>
      <c r="Q7" s="159"/>
    </row>
    <row r="8" spans="1:17" ht="15.75">
      <c r="A8" s="159" t="s">
        <v>45</v>
      </c>
      <c r="B8" s="174">
        <v>70349</v>
      </c>
      <c r="C8" s="174">
        <v>68784</v>
      </c>
      <c r="D8" s="159"/>
      <c r="E8" s="159"/>
      <c r="F8" s="178" t="s">
        <v>27</v>
      </c>
      <c r="G8" s="165">
        <v>19746</v>
      </c>
      <c r="H8" s="166">
        <v>0.11</v>
      </c>
      <c r="I8" s="165">
        <v>17510</v>
      </c>
      <c r="J8" s="166" t="e">
        <f>I8/$D$31</f>
        <v>#DIV/0!</v>
      </c>
      <c r="K8" s="159"/>
      <c r="M8" s="192" t="s">
        <v>276</v>
      </c>
      <c r="N8" s="190">
        <v>22270</v>
      </c>
      <c r="O8" s="190">
        <v>23491</v>
      </c>
      <c r="P8" s="191">
        <f t="shared" si="0"/>
        <v>5.4827121688370006E-2</v>
      </c>
      <c r="Q8" s="159"/>
    </row>
    <row r="9" spans="1:17" ht="15.75">
      <c r="A9" s="159" t="s">
        <v>199</v>
      </c>
      <c r="B9" s="174">
        <v>59953</v>
      </c>
      <c r="C9" s="174">
        <v>57907</v>
      </c>
      <c r="D9" s="176" t="e" vm="1">
        <f>'[1]15-Circulation Rates '!C7</f>
        <v>#VALUE!</v>
      </c>
      <c r="E9" s="159"/>
      <c r="F9" s="159"/>
      <c r="G9" s="163"/>
      <c r="H9" s="166"/>
      <c r="I9" s="163"/>
      <c r="J9" s="166"/>
      <c r="K9" s="159"/>
      <c r="M9" s="192" t="s">
        <v>277</v>
      </c>
      <c r="N9" s="190">
        <v>8813</v>
      </c>
      <c r="O9" s="190">
        <v>8514</v>
      </c>
      <c r="P9" s="191">
        <f t="shared" si="0"/>
        <v>-3.3927153069329363E-2</v>
      </c>
      <c r="Q9" s="159"/>
    </row>
    <row r="10" spans="1:17" ht="15.75">
      <c r="A10" s="159" t="s">
        <v>201</v>
      </c>
      <c r="B10" s="174">
        <v>10396</v>
      </c>
      <c r="C10" s="174">
        <v>10877</v>
      </c>
      <c r="D10" s="159"/>
      <c r="E10" s="159"/>
      <c r="F10" s="178" t="s">
        <v>32</v>
      </c>
      <c r="G10" s="165">
        <v>26742</v>
      </c>
      <c r="H10" s="166">
        <v>0.15</v>
      </c>
      <c r="I10" s="165">
        <v>26672</v>
      </c>
      <c r="J10" s="166" t="e">
        <f>I10/$D$31</f>
        <v>#DIV/0!</v>
      </c>
      <c r="K10" s="159"/>
      <c r="M10" s="192" t="s">
        <v>278</v>
      </c>
      <c r="N10" s="190">
        <v>122</v>
      </c>
      <c r="O10" s="190">
        <v>151</v>
      </c>
      <c r="P10" s="191">
        <f t="shared" si="0"/>
        <v>0.23770491803278682</v>
      </c>
      <c r="Q10" s="159"/>
    </row>
    <row r="11" spans="1:17" ht="15.75">
      <c r="A11" s="159" t="s">
        <v>202</v>
      </c>
      <c r="B11" s="175">
        <v>0.01</v>
      </c>
      <c r="C11" s="175">
        <f>(C8-B8)/B8</f>
        <v>-2.2246229512857325E-2</v>
      </c>
      <c r="D11" s="159"/>
      <c r="E11" s="159"/>
      <c r="F11" s="159"/>
      <c r="G11" s="163"/>
      <c r="H11" s="166"/>
      <c r="I11" s="163"/>
      <c r="J11" s="166"/>
      <c r="K11" s="159"/>
      <c r="M11" s="192" t="s">
        <v>279</v>
      </c>
      <c r="N11" s="190">
        <v>47000</v>
      </c>
      <c r="O11" s="190">
        <v>47703</v>
      </c>
      <c r="P11" s="191">
        <f t="shared" si="0"/>
        <v>1.4957446808510744E-2</v>
      </c>
      <c r="Q11" s="159"/>
    </row>
    <row r="12" spans="1:17" ht="15.75">
      <c r="A12" s="159"/>
      <c r="B12" s="177"/>
      <c r="C12" s="177"/>
      <c r="D12" s="159"/>
      <c r="E12" s="159"/>
      <c r="F12" s="178" t="s">
        <v>36</v>
      </c>
      <c r="G12" s="165">
        <v>33803</v>
      </c>
      <c r="H12" s="166">
        <v>0.18</v>
      </c>
      <c r="I12" s="165">
        <v>32597</v>
      </c>
      <c r="J12" s="166" t="e">
        <f>I12/$D$31</f>
        <v>#DIV/0!</v>
      </c>
      <c r="K12" s="159"/>
      <c r="M12" s="192" t="s">
        <v>281</v>
      </c>
      <c r="N12" s="190">
        <v>112</v>
      </c>
      <c r="O12" s="190">
        <v>82</v>
      </c>
      <c r="P12" s="191">
        <f t="shared" si="0"/>
        <v>-0.2678571428571429</v>
      </c>
      <c r="Q12" s="159"/>
    </row>
    <row r="13" spans="1:17" ht="15.75">
      <c r="A13" s="159"/>
      <c r="B13" s="173" t="s">
        <v>280</v>
      </c>
      <c r="C13" s="173" t="s">
        <v>280</v>
      </c>
      <c r="D13" s="159"/>
      <c r="E13" s="159"/>
      <c r="F13" s="159"/>
      <c r="G13" s="163"/>
      <c r="H13" s="166"/>
      <c r="I13" s="163"/>
      <c r="J13" s="166"/>
      <c r="K13" s="159"/>
      <c r="M13" s="192" t="s">
        <v>282</v>
      </c>
      <c r="N13" s="190">
        <v>2265</v>
      </c>
      <c r="O13" s="190">
        <v>2493</v>
      </c>
      <c r="P13" s="191">
        <f t="shared" si="0"/>
        <v>0.10066225165562903</v>
      </c>
      <c r="Q13" s="159"/>
    </row>
    <row r="14" spans="1:17" ht="15.75">
      <c r="A14" s="159" t="s">
        <v>43</v>
      </c>
      <c r="B14" s="174">
        <v>5172</v>
      </c>
      <c r="C14" s="174">
        <v>4879</v>
      </c>
      <c r="D14" s="159"/>
      <c r="E14" s="159"/>
      <c r="F14" s="178" t="s">
        <v>161</v>
      </c>
      <c r="G14" s="165">
        <v>41220</v>
      </c>
      <c r="H14" s="166">
        <v>0.23</v>
      </c>
      <c r="I14" s="165">
        <v>41504</v>
      </c>
      <c r="J14" s="166" t="e">
        <f>I14/$D$31</f>
        <v>#DIV/0!</v>
      </c>
      <c r="K14" s="159"/>
      <c r="M14" s="192" t="s">
        <v>283</v>
      </c>
      <c r="N14" s="190">
        <v>8023</v>
      </c>
      <c r="O14" s="190">
        <v>7919</v>
      </c>
      <c r="P14" s="191">
        <f t="shared" si="0"/>
        <v>-1.2962732145082922E-2</v>
      </c>
      <c r="Q14" s="159"/>
    </row>
    <row r="15" spans="1:17" ht="15.75">
      <c r="A15" s="159" t="s">
        <v>244</v>
      </c>
      <c r="B15" s="175">
        <v>-0.08</v>
      </c>
      <c r="C15" s="175">
        <f>(C14-B14)/B14</f>
        <v>-5.6651198762567676E-2</v>
      </c>
      <c r="D15" s="159"/>
      <c r="E15" s="159"/>
      <c r="F15" s="159"/>
      <c r="G15" s="163"/>
      <c r="H15" s="166"/>
      <c r="I15" s="163"/>
      <c r="J15" s="166"/>
      <c r="K15" s="159"/>
      <c r="M15" s="192" t="s">
        <v>285</v>
      </c>
      <c r="N15" s="190">
        <v>271</v>
      </c>
      <c r="O15" s="190">
        <v>291</v>
      </c>
      <c r="P15" s="191">
        <f t="shared" si="0"/>
        <v>7.3800738007380184E-2</v>
      </c>
      <c r="Q15" s="159"/>
    </row>
    <row r="16" spans="1:17" ht="15.75">
      <c r="A16" s="159" t="s">
        <v>45</v>
      </c>
      <c r="B16" s="174">
        <v>77580</v>
      </c>
      <c r="C16" s="174">
        <v>73193</v>
      </c>
      <c r="D16" s="159"/>
      <c r="E16" s="159"/>
      <c r="F16" s="179" t="s">
        <v>284</v>
      </c>
      <c r="G16" s="167">
        <f>SUM(G8:G15)</f>
        <v>121511</v>
      </c>
      <c r="H16" s="168">
        <f>SUM(H8:H14)</f>
        <v>0.67</v>
      </c>
      <c r="I16" s="167">
        <f>SUM(I8:I15)</f>
        <v>118283</v>
      </c>
      <c r="J16" s="168" t="e">
        <f>I16/$D$31</f>
        <v>#DIV/0!</v>
      </c>
      <c r="K16" s="159"/>
      <c r="M16" s="192" t="s">
        <v>287</v>
      </c>
      <c r="N16" s="190">
        <v>124</v>
      </c>
      <c r="O16" s="190">
        <v>291</v>
      </c>
      <c r="P16" s="191">
        <f t="shared" si="0"/>
        <v>1.346774193548387</v>
      </c>
      <c r="Q16" s="159"/>
    </row>
    <row r="17" spans="1:17" ht="15.75">
      <c r="A17" s="159" t="s">
        <v>199</v>
      </c>
      <c r="B17" s="174">
        <v>67720</v>
      </c>
      <c r="C17" s="174">
        <v>62804</v>
      </c>
      <c r="D17" s="159"/>
      <c r="E17" s="159"/>
      <c r="F17" s="159"/>
      <c r="G17" s="163"/>
      <c r="H17" s="166"/>
      <c r="I17" s="163"/>
      <c r="J17" s="166"/>
      <c r="K17" s="159"/>
      <c r="M17" s="192" t="s">
        <v>288</v>
      </c>
      <c r="N17" s="190">
        <v>127</v>
      </c>
      <c r="O17" s="190">
        <v>66</v>
      </c>
      <c r="P17" s="191">
        <f t="shared" si="0"/>
        <v>-0.48031496062992129</v>
      </c>
      <c r="Q17" s="159"/>
    </row>
    <row r="18" spans="1:17" ht="15.75">
      <c r="A18" s="159" t="s">
        <v>201</v>
      </c>
      <c r="B18" s="174">
        <v>9860</v>
      </c>
      <c r="C18" s="174">
        <v>10389</v>
      </c>
      <c r="D18" s="159"/>
      <c r="E18" s="159"/>
      <c r="F18" s="178" t="s">
        <v>51</v>
      </c>
      <c r="G18" s="165">
        <v>14369</v>
      </c>
      <c r="H18" s="166">
        <v>0.08</v>
      </c>
      <c r="I18" s="165">
        <v>13360</v>
      </c>
      <c r="J18" s="166" t="e">
        <f>I18/$D$31</f>
        <v>#DIV/0!</v>
      </c>
      <c r="K18" s="159"/>
      <c r="M18" s="192" t="s">
        <v>289</v>
      </c>
      <c r="N18" s="190">
        <v>367</v>
      </c>
      <c r="O18" s="190">
        <v>343</v>
      </c>
      <c r="P18" s="191">
        <f t="shared" si="0"/>
        <v>-6.5395095367847378E-2</v>
      </c>
      <c r="Q18" s="159"/>
    </row>
    <row r="19" spans="1:17" ht="15.75">
      <c r="A19" s="159" t="s">
        <v>244</v>
      </c>
      <c r="B19" s="175">
        <v>0</v>
      </c>
      <c r="C19" s="175">
        <f>(C16-B16)/B16</f>
        <v>-5.654807940190771E-2</v>
      </c>
      <c r="D19" s="159"/>
      <c r="E19" s="159"/>
      <c r="F19" s="159"/>
      <c r="G19" s="163"/>
      <c r="H19" s="166"/>
      <c r="I19" s="163"/>
      <c r="J19" s="166"/>
      <c r="K19" s="159"/>
      <c r="M19" s="192" t="s">
        <v>115</v>
      </c>
      <c r="N19" s="190">
        <v>4285</v>
      </c>
      <c r="O19" s="190">
        <v>4141</v>
      </c>
      <c r="P19" s="191">
        <f t="shared" si="0"/>
        <v>-3.3605600933488966E-2</v>
      </c>
      <c r="Q19" s="159"/>
    </row>
    <row r="20" spans="1:17" ht="15.75">
      <c r="A20" s="159"/>
      <c r="B20" s="177"/>
      <c r="C20" s="177"/>
      <c r="D20" s="159"/>
      <c r="E20" s="159"/>
      <c r="F20" s="178" t="s">
        <v>54</v>
      </c>
      <c r="G20" s="165">
        <v>2342</v>
      </c>
      <c r="H20" s="166">
        <v>0.01</v>
      </c>
      <c r="I20" s="165">
        <v>1927</v>
      </c>
      <c r="J20" s="166" t="e">
        <f>I20/$D$31</f>
        <v>#DIV/0!</v>
      </c>
      <c r="K20" s="159"/>
      <c r="M20" s="192" t="s">
        <v>291</v>
      </c>
      <c r="N20" s="190">
        <v>682</v>
      </c>
      <c r="O20" s="190">
        <v>1066</v>
      </c>
      <c r="P20" s="191">
        <f t="shared" si="0"/>
        <v>0.56304985337243396</v>
      </c>
      <c r="Q20" s="159"/>
    </row>
    <row r="21" spans="1:17" ht="15.75">
      <c r="A21" s="159"/>
      <c r="B21" s="173" t="s">
        <v>209</v>
      </c>
      <c r="C21" s="173" t="s">
        <v>209</v>
      </c>
      <c r="D21" s="159"/>
      <c r="E21" s="159"/>
      <c r="F21" s="159"/>
      <c r="G21" s="163"/>
      <c r="H21" s="166"/>
      <c r="I21" s="163"/>
      <c r="J21" s="166"/>
      <c r="K21" s="159"/>
      <c r="M21" s="192" t="s">
        <v>292</v>
      </c>
      <c r="N21" s="190">
        <v>101</v>
      </c>
      <c r="O21" s="190">
        <v>63</v>
      </c>
      <c r="P21" s="191">
        <f t="shared" si="0"/>
        <v>-0.37623762376237624</v>
      </c>
      <c r="Q21" s="159"/>
    </row>
    <row r="22" spans="1:17" ht="15.75">
      <c r="A22" s="159" t="s">
        <v>43</v>
      </c>
      <c r="B22" s="174">
        <v>1837</v>
      </c>
      <c r="C22" s="174">
        <v>1817</v>
      </c>
      <c r="D22" s="159"/>
      <c r="E22" s="159"/>
      <c r="F22" s="179" t="s">
        <v>290</v>
      </c>
      <c r="G22" s="167">
        <f>SUM(G16:G20)</f>
        <v>138222</v>
      </c>
      <c r="H22" s="168">
        <f>SUM(H18:H20)</f>
        <v>0.09</v>
      </c>
      <c r="I22" s="167">
        <f>SUM(I18:I21)</f>
        <v>15287</v>
      </c>
      <c r="J22" s="168" t="e">
        <f>I22/$D$31</f>
        <v>#DIV/0!</v>
      </c>
      <c r="K22" s="159"/>
      <c r="M22" s="192" t="s">
        <v>294</v>
      </c>
      <c r="N22" s="190">
        <v>934</v>
      </c>
      <c r="O22" s="190">
        <v>758</v>
      </c>
      <c r="P22" s="191">
        <f t="shared" si="0"/>
        <v>-0.18843683083511775</v>
      </c>
      <c r="Q22" s="159"/>
    </row>
    <row r="23" spans="1:17" ht="15.75">
      <c r="A23" s="159" t="s">
        <v>249</v>
      </c>
      <c r="B23" s="175">
        <v>-0.38</v>
      </c>
      <c r="C23" s="175">
        <f>(C22-B22)/B22</f>
        <v>-1.0887316276537834E-2</v>
      </c>
      <c r="D23" s="159"/>
      <c r="E23" s="159"/>
      <c r="F23" s="159"/>
      <c r="G23" s="163"/>
      <c r="H23" s="166"/>
      <c r="I23" s="163"/>
      <c r="J23" s="166"/>
      <c r="K23" s="159"/>
      <c r="M23" s="192" t="s">
        <v>67</v>
      </c>
      <c r="N23" s="190">
        <v>1268</v>
      </c>
      <c r="O23" s="190">
        <v>1268</v>
      </c>
      <c r="P23" s="191">
        <f t="shared" si="0"/>
        <v>0</v>
      </c>
      <c r="Q23" s="159"/>
    </row>
    <row r="24" spans="1:17" ht="15.75">
      <c r="A24" s="159" t="s">
        <v>45</v>
      </c>
      <c r="B24" s="174">
        <v>13019</v>
      </c>
      <c r="C24" s="174">
        <v>9087</v>
      </c>
      <c r="D24" s="159"/>
      <c r="E24" s="159"/>
      <c r="F24" s="180" t="s">
        <v>293</v>
      </c>
      <c r="G24" s="181">
        <f>SUM(G16:G22)</f>
        <v>276444</v>
      </c>
      <c r="H24" s="182">
        <f>SUM(H16,H22)</f>
        <v>0.76</v>
      </c>
      <c r="I24" s="181">
        <f>SUM(I16:I21)</f>
        <v>133570</v>
      </c>
      <c r="J24" s="182" t="e">
        <f>I24/$D$31</f>
        <v>#DIV/0!</v>
      </c>
      <c r="K24" s="159"/>
      <c r="M24" s="192" t="s">
        <v>314</v>
      </c>
      <c r="N24" s="190">
        <v>7400</v>
      </c>
      <c r="O24" s="190">
        <v>9119</v>
      </c>
      <c r="P24" s="191">
        <f t="shared" si="0"/>
        <v>0.2322972972972972</v>
      </c>
      <c r="Q24" s="159"/>
    </row>
    <row r="25" spans="1:17" ht="15.75">
      <c r="A25" s="159" t="s">
        <v>199</v>
      </c>
      <c r="B25" s="174">
        <v>11661</v>
      </c>
      <c r="C25" s="174">
        <v>7799</v>
      </c>
      <c r="D25" s="159"/>
      <c r="E25" s="159"/>
      <c r="F25" s="159"/>
      <c r="G25" s="163"/>
      <c r="H25" s="166"/>
      <c r="I25" s="163"/>
      <c r="J25" s="166"/>
      <c r="K25" s="159"/>
      <c r="M25" s="192" t="s">
        <v>297</v>
      </c>
      <c r="N25" s="190">
        <v>393</v>
      </c>
      <c r="O25" s="190">
        <v>383</v>
      </c>
      <c r="P25" s="191">
        <f t="shared" si="0"/>
        <v>-2.5445292620865145E-2</v>
      </c>
      <c r="Q25" s="159"/>
    </row>
    <row r="26" spans="1:17" ht="15.75">
      <c r="A26" s="159" t="s">
        <v>201</v>
      </c>
      <c r="B26" s="174">
        <v>1358</v>
      </c>
      <c r="C26" s="174">
        <v>1288</v>
      </c>
      <c r="D26" s="159"/>
      <c r="E26" s="159"/>
      <c r="F26" s="183" t="s">
        <v>295</v>
      </c>
      <c r="G26" s="181">
        <v>44397</v>
      </c>
      <c r="H26" s="182">
        <v>0.24</v>
      </c>
      <c r="I26" s="181">
        <v>1128</v>
      </c>
      <c r="J26" s="182" t="e">
        <f>I26/$D$31</f>
        <v>#DIV/0!</v>
      </c>
      <c r="K26" s="159"/>
      <c r="M26" s="192" t="s">
        <v>299</v>
      </c>
      <c r="N26" s="190">
        <v>77</v>
      </c>
      <c r="O26" s="190">
        <v>60</v>
      </c>
      <c r="P26" s="191">
        <f t="shared" si="0"/>
        <v>-0.22077922077922074</v>
      </c>
      <c r="Q26" s="159"/>
    </row>
    <row r="27" spans="1:17" ht="15.75">
      <c r="A27" s="159" t="s">
        <v>249</v>
      </c>
      <c r="B27" s="175">
        <v>-0.16</v>
      </c>
      <c r="C27" s="175">
        <f>(C24-B24)/B24</f>
        <v>-0.30202012443352022</v>
      </c>
      <c r="D27" s="159"/>
      <c r="E27" s="159"/>
      <c r="F27" s="159"/>
      <c r="G27" s="163"/>
      <c r="H27" s="184"/>
      <c r="I27" s="163"/>
      <c r="J27" s="184"/>
      <c r="K27" s="159"/>
      <c r="M27" s="192" t="s">
        <v>300</v>
      </c>
      <c r="N27" s="190">
        <v>69</v>
      </c>
      <c r="O27" s="190">
        <v>102</v>
      </c>
      <c r="P27" s="191">
        <f t="shared" si="0"/>
        <v>0.47826086956521729</v>
      </c>
      <c r="Q27" s="159"/>
    </row>
    <row r="28" spans="1:17" ht="15.75">
      <c r="A28" s="159"/>
      <c r="B28" s="177"/>
      <c r="C28" s="177"/>
      <c r="D28" s="159"/>
      <c r="E28" s="159"/>
      <c r="F28" s="183" t="s">
        <v>298</v>
      </c>
      <c r="G28" s="181">
        <v>261</v>
      </c>
      <c r="H28" s="182">
        <v>0</v>
      </c>
      <c r="I28" s="181">
        <v>24563</v>
      </c>
      <c r="J28" s="182" t="e">
        <f>I28/$D$31</f>
        <v>#DIV/0!</v>
      </c>
      <c r="K28" s="159"/>
      <c r="M28" s="193" t="s">
        <v>315</v>
      </c>
      <c r="N28" s="194">
        <v>786</v>
      </c>
      <c r="O28" s="194">
        <v>773</v>
      </c>
      <c r="P28" s="195">
        <f t="shared" si="0"/>
        <v>-1.653944020356235E-2</v>
      </c>
      <c r="Q28" s="159"/>
    </row>
    <row r="29" spans="1:17" ht="15.75">
      <c r="A29" s="159"/>
      <c r="B29" s="173" t="s">
        <v>215</v>
      </c>
      <c r="C29" s="173" t="s">
        <v>215</v>
      </c>
      <c r="D29" s="159"/>
      <c r="E29" s="159"/>
      <c r="F29" s="161"/>
      <c r="G29" s="185"/>
      <c r="H29" s="168"/>
      <c r="I29" s="162"/>
      <c r="J29" s="162"/>
      <c r="K29" s="159"/>
      <c r="M29" s="192"/>
      <c r="N29" s="192"/>
      <c r="O29" s="192"/>
      <c r="P29" s="191"/>
      <c r="Q29" s="159"/>
    </row>
    <row r="30" spans="1:17" ht="15.75">
      <c r="A30" s="159" t="s">
        <v>43</v>
      </c>
      <c r="B30" s="174">
        <v>1814</v>
      </c>
      <c r="C30" s="174">
        <v>1649</v>
      </c>
      <c r="D30" s="159"/>
      <c r="E30" s="159"/>
      <c r="F30" s="159"/>
      <c r="G30" s="163"/>
      <c r="H30" s="166"/>
      <c r="I30" s="163"/>
      <c r="J30" s="163"/>
      <c r="K30" s="159"/>
      <c r="M30" s="143" t="s">
        <v>74</v>
      </c>
      <c r="N30" s="146">
        <f>SUM(N5:N29)</f>
        <v>106695</v>
      </c>
      <c r="O30" s="146">
        <f>SUM(O5:O28)</f>
        <v>110256</v>
      </c>
      <c r="P30" s="196">
        <f t="shared" si="0"/>
        <v>3.3375509630254374E-2</v>
      </c>
      <c r="Q30" s="159"/>
    </row>
    <row r="31" spans="1:17" ht="15.75">
      <c r="A31" s="159" t="s">
        <v>256</v>
      </c>
      <c r="B31" s="175">
        <v>-0.33</v>
      </c>
      <c r="C31" s="175">
        <f>(C30-B30)/B30</f>
        <v>-9.0959206174200655E-2</v>
      </c>
      <c r="D31" s="159"/>
      <c r="E31" s="159"/>
      <c r="F31" s="160" t="s">
        <v>76</v>
      </c>
      <c r="G31" s="169">
        <f>SUM(G24:G28)</f>
        <v>321102</v>
      </c>
      <c r="H31" s="170">
        <v>1</v>
      </c>
      <c r="I31" s="169">
        <f>SUM(I24+I26+I28)</f>
        <v>159261</v>
      </c>
      <c r="J31" s="170" t="e">
        <f>SUM(J24+J26+J28)</f>
        <v>#DIV/0!</v>
      </c>
      <c r="K31" s="159"/>
      <c r="M31" s="192"/>
      <c r="N31" s="192"/>
      <c r="O31" s="192"/>
      <c r="P31" s="191"/>
      <c r="Q31" s="159"/>
    </row>
    <row r="32" spans="1:17" ht="15.75">
      <c r="A32" s="159" t="s">
        <v>45</v>
      </c>
      <c r="B32" s="174">
        <v>12705</v>
      </c>
      <c r="C32" s="174">
        <v>8165</v>
      </c>
      <c r="D32" s="159"/>
      <c r="E32" s="159"/>
      <c r="F32" s="161"/>
      <c r="G32" s="161"/>
      <c r="H32" s="161"/>
      <c r="I32" s="161"/>
      <c r="J32" s="161"/>
      <c r="K32" s="159"/>
      <c r="M32" s="192" t="s">
        <v>316</v>
      </c>
      <c r="N32" s="192"/>
      <c r="O32" s="192"/>
      <c r="P32" s="191"/>
      <c r="Q32" s="159"/>
    </row>
    <row r="33" spans="1:17" ht="15.75">
      <c r="A33" s="159" t="s">
        <v>199</v>
      </c>
      <c r="B33" s="174">
        <v>10425</v>
      </c>
      <c r="C33" s="174">
        <v>7223</v>
      </c>
      <c r="D33" s="159"/>
      <c r="E33" s="159"/>
      <c r="F33" s="159"/>
      <c r="G33" s="159"/>
      <c r="H33" s="159"/>
      <c r="I33" s="159"/>
      <c r="J33" s="159"/>
      <c r="K33" s="159"/>
      <c r="M33" s="221" t="s">
        <v>317</v>
      </c>
      <c r="N33" s="221"/>
      <c r="O33" s="221"/>
      <c r="P33" s="221"/>
      <c r="Q33" s="159"/>
    </row>
    <row r="34" spans="1:17" ht="15.75">
      <c r="A34" s="159" t="s">
        <v>201</v>
      </c>
      <c r="B34" s="174">
        <v>2253</v>
      </c>
      <c r="C34" s="174">
        <v>942</v>
      </c>
      <c r="D34" s="159"/>
      <c r="E34" s="159"/>
      <c r="F34" s="222" t="s">
        <v>318</v>
      </c>
      <c r="G34" s="222"/>
      <c r="H34" s="222"/>
      <c r="I34" s="222"/>
      <c r="J34" s="222"/>
      <c r="K34" s="159"/>
      <c r="M34" s="192"/>
      <c r="N34" s="192"/>
      <c r="O34" s="192"/>
      <c r="P34" s="191"/>
      <c r="Q34" s="159"/>
    </row>
    <row r="35" spans="1:17" ht="15.75">
      <c r="A35" s="159" t="s">
        <v>256</v>
      </c>
      <c r="B35" s="175">
        <v>-0.12</v>
      </c>
      <c r="C35" s="175">
        <f>(C32-B32)/B32</f>
        <v>-0.35733963006690278</v>
      </c>
      <c r="D35" s="159"/>
      <c r="E35" s="159"/>
      <c r="M35" s="221" t="s">
        <v>319</v>
      </c>
      <c r="N35" s="221"/>
      <c r="O35" s="221"/>
      <c r="P35" s="221"/>
      <c r="Q35" s="159"/>
    </row>
    <row r="36" spans="1:17" ht="15.75">
      <c r="A36" s="159"/>
      <c r="B36" s="177"/>
      <c r="C36" s="177"/>
      <c r="D36" s="159"/>
      <c r="E36" s="159"/>
      <c r="M36" s="159"/>
      <c r="N36" s="159"/>
      <c r="O36" s="159"/>
      <c r="P36" s="159"/>
      <c r="Q36" s="159"/>
    </row>
    <row r="37" spans="1:17" ht="15.75">
      <c r="A37" s="160" t="s">
        <v>224</v>
      </c>
      <c r="B37" s="174">
        <f>B8+B16+B24+B32</f>
        <v>173653</v>
      </c>
      <c r="C37" s="174">
        <f>C8+C16+C24+C32</f>
        <v>159229</v>
      </c>
      <c r="D37" s="159"/>
      <c r="E37" s="159"/>
    </row>
    <row r="38" spans="1:17" ht="15.75">
      <c r="A38" s="159"/>
      <c r="B38" s="159"/>
      <c r="C38" s="159"/>
      <c r="D38" s="159"/>
      <c r="E38" s="159"/>
    </row>
  </sheetData>
  <mergeCells count="10">
    <mergeCell ref="M35:P35"/>
    <mergeCell ref="A1:C1"/>
    <mergeCell ref="A2:C2"/>
    <mergeCell ref="F1:J1"/>
    <mergeCell ref="F2:J2"/>
    <mergeCell ref="F34:J34"/>
    <mergeCell ref="M1:P1"/>
    <mergeCell ref="M2:P2"/>
    <mergeCell ref="M3:P3"/>
    <mergeCell ref="M33:P3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3FADB-3D34-43E6-8EDA-B87286C8AE41}">
  <dimension ref="A1:M38"/>
  <sheetViews>
    <sheetView tabSelected="1" workbookViewId="0">
      <selection activeCell="L1" sqref="L1"/>
    </sheetView>
  </sheetViews>
  <sheetFormatPr defaultRowHeight="15"/>
  <sheetData>
    <row r="1" spans="1:13" ht="21">
      <c r="A1" s="207" t="s">
        <v>94</v>
      </c>
      <c r="B1" s="207"/>
      <c r="C1" s="207"/>
      <c r="F1" s="197" t="s">
        <v>95</v>
      </c>
      <c r="G1" s="197"/>
      <c r="H1" s="197"/>
      <c r="I1" s="197"/>
      <c r="J1" s="197"/>
      <c r="L1" s="225" t="s">
        <v>320</v>
      </c>
      <c r="M1" s="224" t="s">
        <v>321</v>
      </c>
    </row>
    <row r="2" spans="1:13" ht="15.75">
      <c r="A2" s="208" t="s">
        <v>322</v>
      </c>
      <c r="B2" s="208"/>
      <c r="C2" s="208"/>
      <c r="D2" s="159"/>
      <c r="F2" s="198" t="s">
        <v>323</v>
      </c>
      <c r="G2" s="198"/>
      <c r="H2" s="198"/>
      <c r="I2" s="198"/>
      <c r="J2" s="198"/>
    </row>
    <row r="3" spans="1:13">
      <c r="F3" s="2"/>
      <c r="G3" s="2"/>
      <c r="H3" s="2"/>
      <c r="I3" s="2"/>
      <c r="J3" s="2"/>
    </row>
    <row r="5" spans="1:13">
      <c r="B5" s="130" t="s">
        <v>324</v>
      </c>
      <c r="C5" s="130" t="s">
        <v>309</v>
      </c>
      <c r="F5" s="3" t="s">
        <v>11</v>
      </c>
      <c r="G5" s="1" t="s">
        <v>12</v>
      </c>
      <c r="H5" s="1" t="s">
        <v>13</v>
      </c>
      <c r="I5" s="1" t="s">
        <v>12</v>
      </c>
      <c r="J5" s="1" t="s">
        <v>13</v>
      </c>
    </row>
    <row r="6" spans="1:13">
      <c r="B6" s="130" t="s">
        <v>325</v>
      </c>
      <c r="C6" s="130" t="s">
        <v>311</v>
      </c>
      <c r="F6" s="3"/>
      <c r="G6" s="1" t="s">
        <v>326</v>
      </c>
      <c r="H6" s="1" t="s">
        <v>19</v>
      </c>
      <c r="I6" s="1" t="s">
        <v>327</v>
      </c>
      <c r="J6" s="1" t="s">
        <v>19</v>
      </c>
    </row>
    <row r="7" spans="1:13">
      <c r="A7" t="s">
        <v>43</v>
      </c>
      <c r="B7" s="131">
        <v>4094</v>
      </c>
      <c r="C7" s="131">
        <v>4396</v>
      </c>
      <c r="F7" s="2"/>
      <c r="G7" s="5"/>
      <c r="H7" s="5"/>
      <c r="I7" s="5"/>
      <c r="J7" s="5"/>
    </row>
    <row r="8" spans="1:13">
      <c r="A8" t="s">
        <v>202</v>
      </c>
      <c r="B8" s="132">
        <v>-0.09</v>
      </c>
      <c r="C8" s="132">
        <f>(C7-B7)/B7</f>
        <v>7.3766487542745479E-2</v>
      </c>
      <c r="G8" s="6"/>
      <c r="H8" s="6"/>
      <c r="I8" s="6"/>
      <c r="J8" s="6"/>
    </row>
    <row r="9" spans="1:13">
      <c r="A9" t="s">
        <v>45</v>
      </c>
      <c r="B9" s="131">
        <v>69605</v>
      </c>
      <c r="C9" s="131">
        <v>70349</v>
      </c>
      <c r="F9" s="7" t="s">
        <v>27</v>
      </c>
      <c r="G9" s="8">
        <v>21942</v>
      </c>
      <c r="H9" s="84">
        <v>0.15</v>
      </c>
      <c r="I9" s="8">
        <v>19764</v>
      </c>
      <c r="J9" s="84" t="e">
        <f>I9/$D$32</f>
        <v>#DIV/0!</v>
      </c>
    </row>
    <row r="10" spans="1:13">
      <c r="A10" t="s">
        <v>199</v>
      </c>
      <c r="B10" s="131">
        <v>58109</v>
      </c>
      <c r="C10" s="131">
        <v>59953</v>
      </c>
      <c r="G10" s="6"/>
      <c r="H10" s="84"/>
      <c r="I10" s="6"/>
      <c r="J10" s="84"/>
    </row>
    <row r="11" spans="1:13">
      <c r="A11" t="s">
        <v>201</v>
      </c>
      <c r="B11" s="131">
        <v>11502</v>
      </c>
      <c r="C11" s="131">
        <v>10396</v>
      </c>
      <c r="F11" s="7" t="s">
        <v>32</v>
      </c>
      <c r="G11" s="8">
        <v>27388</v>
      </c>
      <c r="H11" s="84">
        <v>0.19</v>
      </c>
      <c r="I11" s="8">
        <v>26742</v>
      </c>
      <c r="J11" s="84" t="e">
        <f>I11/$D$32</f>
        <v>#DIV/0!</v>
      </c>
    </row>
    <row r="12" spans="1:13">
      <c r="A12" t="s">
        <v>202</v>
      </c>
      <c r="B12" s="132">
        <v>0.01</v>
      </c>
      <c r="C12" s="132">
        <f>(C9-B9)/B9</f>
        <v>1.0688887292579555E-2</v>
      </c>
      <c r="G12" s="6"/>
      <c r="H12" s="84"/>
      <c r="I12" s="6"/>
      <c r="J12" s="84"/>
    </row>
    <row r="13" spans="1:13">
      <c r="B13" s="133"/>
      <c r="C13" s="133"/>
      <c r="F13" s="7" t="s">
        <v>36</v>
      </c>
      <c r="G13" s="8">
        <v>32869</v>
      </c>
      <c r="H13" s="84">
        <v>0.23</v>
      </c>
      <c r="I13" s="8">
        <v>33803</v>
      </c>
      <c r="J13" s="84" t="e">
        <f>I13/$D$32</f>
        <v>#DIV/0!</v>
      </c>
    </row>
    <row r="14" spans="1:13">
      <c r="B14" s="130" t="s">
        <v>328</v>
      </c>
      <c r="C14" s="130" t="s">
        <v>329</v>
      </c>
      <c r="G14" s="6"/>
      <c r="H14" s="84"/>
      <c r="I14" s="6"/>
      <c r="J14" s="84"/>
    </row>
    <row r="15" spans="1:13">
      <c r="A15" t="s">
        <v>43</v>
      </c>
      <c r="B15" s="131">
        <v>4563</v>
      </c>
      <c r="C15" s="131">
        <v>4236</v>
      </c>
      <c r="F15" s="7" t="s">
        <v>161</v>
      </c>
      <c r="G15" s="8">
        <v>46972</v>
      </c>
      <c r="H15" s="84">
        <v>0.33</v>
      </c>
      <c r="I15" s="8">
        <v>41220</v>
      </c>
      <c r="J15" s="84" t="e">
        <f>I15/$D$32</f>
        <v>#DIV/0!</v>
      </c>
    </row>
    <row r="16" spans="1:13">
      <c r="A16" t="s">
        <v>244</v>
      </c>
      <c r="B16" s="132">
        <v>-0.08</v>
      </c>
      <c r="C16" s="132">
        <f>(C15-B15)/B15</f>
        <v>-7.1663379355687049E-2</v>
      </c>
      <c r="G16" s="6"/>
      <c r="H16" s="84"/>
      <c r="I16" s="6"/>
      <c r="J16" s="84"/>
    </row>
    <row r="17" spans="1:10">
      <c r="A17" t="s">
        <v>45</v>
      </c>
      <c r="B17" s="131">
        <v>77580</v>
      </c>
      <c r="C17" s="131">
        <v>72014</v>
      </c>
      <c r="F17" s="2" t="s">
        <v>47</v>
      </c>
      <c r="G17" s="10">
        <f>SUM(G9:G16)</f>
        <v>129171</v>
      </c>
      <c r="H17" s="85">
        <v>0.9</v>
      </c>
      <c r="I17" s="10">
        <f>SUM(I9:I16)</f>
        <v>121529</v>
      </c>
      <c r="J17" s="85" t="e">
        <f>I17/$D$32</f>
        <v>#DIV/0!</v>
      </c>
    </row>
    <row r="18" spans="1:10">
      <c r="A18" t="s">
        <v>199</v>
      </c>
      <c r="B18" s="131">
        <v>67720</v>
      </c>
      <c r="C18" s="131">
        <v>63555</v>
      </c>
      <c r="G18" s="6"/>
      <c r="H18" s="84"/>
      <c r="I18" s="6"/>
      <c r="J18" s="84"/>
    </row>
    <row r="19" spans="1:10">
      <c r="A19" t="s">
        <v>201</v>
      </c>
      <c r="B19" s="131">
        <v>9860</v>
      </c>
      <c r="C19" s="131">
        <v>8459</v>
      </c>
      <c r="F19" s="7" t="s">
        <v>51</v>
      </c>
      <c r="G19" s="8">
        <v>17582</v>
      </c>
      <c r="H19" s="84">
        <v>0.12</v>
      </c>
      <c r="I19" s="8">
        <v>14369</v>
      </c>
      <c r="J19" s="84" t="e">
        <f>I19/$D$32</f>
        <v>#DIV/0!</v>
      </c>
    </row>
    <row r="20" spans="1:10">
      <c r="A20" t="s">
        <v>244</v>
      </c>
      <c r="B20" s="132">
        <v>0</v>
      </c>
      <c r="C20" s="132">
        <f>(C17-B17)/B17</f>
        <v>-7.1745295179169888E-2</v>
      </c>
      <c r="G20" s="6"/>
      <c r="H20" s="84"/>
      <c r="I20" s="6"/>
      <c r="J20" s="84"/>
    </row>
    <row r="21" spans="1:10">
      <c r="B21" s="133"/>
      <c r="C21" s="133"/>
      <c r="F21" s="7" t="s">
        <v>54</v>
      </c>
      <c r="G21" s="8">
        <v>2462</v>
      </c>
      <c r="H21" s="84">
        <v>0.02</v>
      </c>
      <c r="I21" s="8">
        <v>2342</v>
      </c>
      <c r="J21" s="84" t="e">
        <f>I21/$D$32</f>
        <v>#DIV/0!</v>
      </c>
    </row>
    <row r="22" spans="1:10">
      <c r="B22" s="130" t="s">
        <v>209</v>
      </c>
      <c r="C22" s="130" t="s">
        <v>209</v>
      </c>
      <c r="G22" s="6"/>
      <c r="H22" s="84"/>
      <c r="I22" s="6"/>
      <c r="J22" s="84"/>
    </row>
    <row r="23" spans="1:10">
      <c r="A23" t="s">
        <v>43</v>
      </c>
      <c r="B23" s="131">
        <v>2603</v>
      </c>
      <c r="C23" s="131">
        <v>2030</v>
      </c>
      <c r="F23" s="2" t="s">
        <v>59</v>
      </c>
      <c r="G23" s="10">
        <f>SUM(G17:G21)</f>
        <v>149215</v>
      </c>
      <c r="H23" s="85">
        <v>0.14000000000000001</v>
      </c>
      <c r="I23" s="10">
        <f>SUM(I19:I22)</f>
        <v>16711</v>
      </c>
      <c r="J23" s="85" t="e">
        <f>I23/$D$32</f>
        <v>#DIV/0!</v>
      </c>
    </row>
    <row r="24" spans="1:10">
      <c r="A24" t="s">
        <v>249</v>
      </c>
      <c r="B24" s="132">
        <v>-0.38</v>
      </c>
      <c r="C24" s="132">
        <v>-0.28000000000000003</v>
      </c>
      <c r="G24" s="6"/>
      <c r="H24" s="84"/>
      <c r="I24" s="6"/>
      <c r="J24" s="84"/>
    </row>
    <row r="25" spans="1:10">
      <c r="A25" t="s">
        <v>45</v>
      </c>
      <c r="B25" s="131">
        <v>13019</v>
      </c>
      <c r="C25" s="131">
        <v>10152</v>
      </c>
      <c r="F25" s="2" t="s">
        <v>62</v>
      </c>
      <c r="G25" s="10">
        <f>SUM(G17:G23)</f>
        <v>298430</v>
      </c>
      <c r="H25" s="85">
        <v>0.83</v>
      </c>
      <c r="I25" s="10">
        <f>SUM(I17:I22)</f>
        <v>138240</v>
      </c>
      <c r="J25" s="85" t="e">
        <f>I25/$D$32</f>
        <v>#DIV/0!</v>
      </c>
    </row>
    <row r="26" spans="1:10">
      <c r="A26" t="s">
        <v>199</v>
      </c>
      <c r="B26" s="131">
        <v>11661</v>
      </c>
      <c r="C26" s="131">
        <v>8655</v>
      </c>
      <c r="G26" s="6"/>
      <c r="H26" s="84"/>
      <c r="I26" s="6"/>
      <c r="J26" s="84"/>
    </row>
    <row r="27" spans="1:10">
      <c r="A27" t="s">
        <v>201</v>
      </c>
      <c r="B27" s="131">
        <v>1358</v>
      </c>
      <c r="C27" s="131">
        <v>1497</v>
      </c>
      <c r="F27" s="7" t="s">
        <v>65</v>
      </c>
      <c r="G27" s="8">
        <v>24129</v>
      </c>
      <c r="H27" s="84">
        <v>0.17</v>
      </c>
      <c r="I27" s="8">
        <v>44397</v>
      </c>
      <c r="J27" s="84" t="e">
        <f>I27/$D$32</f>
        <v>#DIV/0!</v>
      </c>
    </row>
    <row r="28" spans="1:10">
      <c r="A28" t="s">
        <v>249</v>
      </c>
      <c r="B28" s="132">
        <v>-0.16</v>
      </c>
      <c r="C28" s="132">
        <f>(C25-B25)/B25</f>
        <v>-0.22021660649819494</v>
      </c>
      <c r="G28" s="6"/>
      <c r="H28" s="84"/>
      <c r="I28" s="6"/>
      <c r="J28" s="84"/>
    </row>
    <row r="29" spans="1:10">
      <c r="B29" s="133"/>
      <c r="C29" s="133"/>
      <c r="F29" s="7" t="s">
        <v>330</v>
      </c>
      <c r="G29" s="8">
        <v>192</v>
      </c>
      <c r="H29" s="84">
        <v>0</v>
      </c>
      <c r="I29" s="8">
        <v>261</v>
      </c>
      <c r="J29" s="84" t="e">
        <f>I29/$D$32</f>
        <v>#DIV/0!</v>
      </c>
    </row>
    <row r="30" spans="1:10">
      <c r="B30" s="130" t="s">
        <v>215</v>
      </c>
      <c r="C30" s="130" t="s">
        <v>215</v>
      </c>
      <c r="F30" s="2"/>
      <c r="G30" s="5"/>
      <c r="H30" s="85"/>
      <c r="I30" s="5"/>
      <c r="J30" s="5"/>
    </row>
    <row r="31" spans="1:10">
      <c r="A31" t="s">
        <v>43</v>
      </c>
      <c r="B31" s="131">
        <v>2541</v>
      </c>
      <c r="C31" s="131">
        <v>1837</v>
      </c>
      <c r="G31" s="6"/>
      <c r="H31" s="84"/>
      <c r="I31" s="6"/>
      <c r="J31" s="6"/>
    </row>
    <row r="32" spans="1:10">
      <c r="A32" t="s">
        <v>256</v>
      </c>
      <c r="B32" s="132">
        <v>-0.33</v>
      </c>
      <c r="C32" s="132">
        <f>(C31-B31)/B31</f>
        <v>-0.27705627705627706</v>
      </c>
      <c r="F32" s="3" t="s">
        <v>76</v>
      </c>
      <c r="G32" s="147">
        <f>SUM(G25:G29)</f>
        <v>322751</v>
      </c>
      <c r="H32" s="15">
        <v>1</v>
      </c>
      <c r="I32" s="147">
        <f>SUM(I25+I27+I29)</f>
        <v>182898</v>
      </c>
      <c r="J32" s="15" t="e">
        <f>SUM(J25+J27+J29)</f>
        <v>#DIV/0!</v>
      </c>
    </row>
    <row r="33" spans="1:10">
      <c r="A33" t="s">
        <v>45</v>
      </c>
      <c r="B33" s="131">
        <v>12705</v>
      </c>
      <c r="C33" s="131">
        <v>9186</v>
      </c>
      <c r="F33" s="2"/>
      <c r="G33" s="2"/>
      <c r="H33" s="2"/>
      <c r="I33" s="2"/>
      <c r="J33" s="2"/>
    </row>
    <row r="34" spans="1:10">
      <c r="A34" t="s">
        <v>199</v>
      </c>
      <c r="B34" s="131">
        <v>10425</v>
      </c>
      <c r="C34" s="131">
        <v>8183</v>
      </c>
    </row>
    <row r="35" spans="1:10">
      <c r="A35" t="s">
        <v>201</v>
      </c>
      <c r="B35" s="131">
        <v>2253</v>
      </c>
      <c r="C35" s="131">
        <v>1003</v>
      </c>
    </row>
    <row r="36" spans="1:10">
      <c r="A36" t="s">
        <v>256</v>
      </c>
      <c r="B36" s="132">
        <v>-0.12</v>
      </c>
      <c r="C36" s="132">
        <f>(C33-B33)/B33</f>
        <v>-0.27697756788665878</v>
      </c>
      <c r="F36" s="206" t="s">
        <v>301</v>
      </c>
      <c r="G36" s="206"/>
      <c r="H36" s="206"/>
      <c r="I36" s="206"/>
      <c r="J36" s="206"/>
    </row>
    <row r="37" spans="1:10">
      <c r="B37" s="133"/>
      <c r="C37" s="133"/>
    </row>
    <row r="38" spans="1:10">
      <c r="A38" s="3" t="s">
        <v>224</v>
      </c>
      <c r="B38" s="131">
        <f>B9+B17+B25+B33</f>
        <v>172909</v>
      </c>
      <c r="C38" s="131">
        <f>C9+C17+C25+C33</f>
        <v>161701</v>
      </c>
    </row>
  </sheetData>
  <mergeCells count="5">
    <mergeCell ref="A1:C1"/>
    <mergeCell ref="A2:C2"/>
    <mergeCell ref="F1:J1"/>
    <mergeCell ref="F2:J2"/>
    <mergeCell ref="F36:J3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178D1-A78C-4118-B422-9C954DE921CB}">
  <dimension ref="A1:N38"/>
  <sheetViews>
    <sheetView workbookViewId="0">
      <selection activeCell="O8" sqref="O8"/>
    </sheetView>
  </sheetViews>
  <sheetFormatPr defaultRowHeight="15"/>
  <sheetData>
    <row r="1" spans="1:14" ht="21">
      <c r="A1" s="207" t="s">
        <v>96</v>
      </c>
      <c r="B1" s="207"/>
      <c r="C1" s="207"/>
      <c r="F1" s="197" t="s">
        <v>331</v>
      </c>
      <c r="G1" s="197"/>
      <c r="H1" s="197"/>
      <c r="I1" s="197"/>
      <c r="J1" s="197"/>
      <c r="M1" s="223" t="s">
        <v>320</v>
      </c>
      <c r="N1" t="s">
        <v>332</v>
      </c>
    </row>
    <row r="2" spans="1:14" ht="15.75">
      <c r="A2" s="208" t="s">
        <v>333</v>
      </c>
      <c r="B2" s="208"/>
      <c r="C2" s="208"/>
      <c r="D2" s="159"/>
      <c r="F2" s="198" t="s">
        <v>334</v>
      </c>
      <c r="G2" s="198"/>
      <c r="H2" s="198"/>
      <c r="I2" s="198"/>
      <c r="J2" s="198"/>
    </row>
    <row r="3" spans="1:14">
      <c r="F3" s="2"/>
      <c r="G3" s="2"/>
      <c r="H3" s="2"/>
      <c r="I3" s="2"/>
      <c r="J3" s="2"/>
    </row>
    <row r="5" spans="1:14">
      <c r="B5" s="130" t="s">
        <v>335</v>
      </c>
      <c r="C5" s="130" t="s">
        <v>324</v>
      </c>
      <c r="F5" s="3" t="s">
        <v>11</v>
      </c>
      <c r="G5" s="1" t="s">
        <v>12</v>
      </c>
      <c r="H5" s="1" t="s">
        <v>13</v>
      </c>
      <c r="I5" s="1" t="s">
        <v>12</v>
      </c>
      <c r="J5" s="1" t="s">
        <v>13</v>
      </c>
    </row>
    <row r="6" spans="1:14">
      <c r="B6" s="130" t="s">
        <v>336</v>
      </c>
      <c r="C6" s="130" t="s">
        <v>325</v>
      </c>
      <c r="F6" s="3"/>
      <c r="G6" s="1" t="s">
        <v>337</v>
      </c>
      <c r="H6" s="1" t="s">
        <v>19</v>
      </c>
      <c r="I6" s="1" t="s">
        <v>338</v>
      </c>
      <c r="J6" s="1" t="s">
        <v>19</v>
      </c>
    </row>
    <row r="7" spans="1:14">
      <c r="A7" t="s">
        <v>43</v>
      </c>
      <c r="B7" s="131">
        <v>4689</v>
      </c>
      <c r="C7" s="131">
        <v>4094</v>
      </c>
      <c r="F7" s="2"/>
      <c r="G7" s="5"/>
      <c r="H7" s="5"/>
      <c r="I7" s="5"/>
      <c r="J7" s="5"/>
    </row>
    <row r="8" spans="1:14">
      <c r="A8" t="s">
        <v>198</v>
      </c>
      <c r="B8" s="132">
        <v>-0.09</v>
      </c>
      <c r="C8" s="132">
        <f>(C7-B7)/B7</f>
        <v>-0.12689272766048199</v>
      </c>
      <c r="G8" s="6"/>
      <c r="H8" s="6"/>
      <c r="I8" s="6"/>
      <c r="J8" s="6"/>
    </row>
    <row r="9" spans="1:14">
      <c r="A9" t="s">
        <v>45</v>
      </c>
      <c r="B9" s="131">
        <v>75018</v>
      </c>
      <c r="C9" s="131">
        <v>69605</v>
      </c>
      <c r="F9" s="7" t="s">
        <v>27</v>
      </c>
      <c r="G9" s="8">
        <v>20475</v>
      </c>
      <c r="H9" s="84">
        <v>0.15</v>
      </c>
      <c r="I9" s="8">
        <v>21942</v>
      </c>
      <c r="J9" s="84" t="e">
        <f>I9/$D$32</f>
        <v>#DIV/0!</v>
      </c>
    </row>
    <row r="10" spans="1:14">
      <c r="A10" t="s">
        <v>199</v>
      </c>
      <c r="B10" s="131">
        <v>62427</v>
      </c>
      <c r="C10" s="131">
        <v>58103</v>
      </c>
      <c r="G10" s="6"/>
      <c r="H10" s="84"/>
      <c r="I10" s="6"/>
      <c r="J10" s="84"/>
    </row>
    <row r="11" spans="1:14">
      <c r="A11" t="s">
        <v>201</v>
      </c>
      <c r="B11" s="131">
        <v>12591</v>
      </c>
      <c r="C11" s="131">
        <v>11502</v>
      </c>
      <c r="F11" s="7" t="s">
        <v>32</v>
      </c>
      <c r="G11" s="8">
        <v>23794</v>
      </c>
      <c r="H11" s="84">
        <v>0.17</v>
      </c>
      <c r="I11" s="8">
        <v>27388</v>
      </c>
      <c r="J11" s="84" t="e">
        <f>I11/$D$32</f>
        <v>#DIV/0!</v>
      </c>
    </row>
    <row r="12" spans="1:14">
      <c r="A12" t="s">
        <v>202</v>
      </c>
      <c r="B12" s="132">
        <v>0.01</v>
      </c>
      <c r="C12" s="132">
        <f>(C9-B9)/B9</f>
        <v>-7.2156015889519851E-2</v>
      </c>
      <c r="G12" s="6"/>
      <c r="H12" s="84"/>
      <c r="I12" s="6"/>
      <c r="J12" s="84"/>
    </row>
    <row r="13" spans="1:14">
      <c r="B13" s="133"/>
      <c r="C13" s="133"/>
      <c r="F13" s="7" t="s">
        <v>36</v>
      </c>
      <c r="G13" s="8">
        <v>31930</v>
      </c>
      <c r="H13" s="84">
        <v>0.23</v>
      </c>
      <c r="I13" s="8">
        <v>32869</v>
      </c>
      <c r="J13" s="84" t="e">
        <f>I13/$D$32</f>
        <v>#DIV/0!</v>
      </c>
    </row>
    <row r="14" spans="1:14">
      <c r="B14" s="130" t="s">
        <v>339</v>
      </c>
      <c r="C14" s="130" t="s">
        <v>328</v>
      </c>
      <c r="G14" s="6"/>
      <c r="H14" s="84"/>
      <c r="I14" s="6"/>
      <c r="J14" s="84"/>
    </row>
    <row r="15" spans="1:14">
      <c r="A15" t="s">
        <v>43</v>
      </c>
      <c r="B15" s="131">
        <v>2651</v>
      </c>
      <c r="C15" s="131">
        <v>4310</v>
      </c>
      <c r="F15" s="7" t="s">
        <v>161</v>
      </c>
      <c r="G15" s="8">
        <v>43239</v>
      </c>
      <c r="H15" s="84">
        <v>0.31</v>
      </c>
      <c r="I15" s="8">
        <v>46972</v>
      </c>
      <c r="J15" s="84" t="e">
        <f>I15/$D$32</f>
        <v>#DIV/0!</v>
      </c>
    </row>
    <row r="16" spans="1:14">
      <c r="A16" t="s">
        <v>244</v>
      </c>
      <c r="B16" s="132">
        <v>-0.08</v>
      </c>
      <c r="C16" s="132">
        <f>(C15-B15)/B15</f>
        <v>0.62580158430780841</v>
      </c>
      <c r="G16" s="6"/>
      <c r="H16" s="84"/>
      <c r="I16" s="6"/>
      <c r="J16" s="84"/>
    </row>
    <row r="17" spans="1:10">
      <c r="A17" t="s">
        <v>45</v>
      </c>
      <c r="B17" s="131">
        <v>55670</v>
      </c>
      <c r="C17" s="131">
        <v>77580</v>
      </c>
      <c r="F17" s="2" t="s">
        <v>47</v>
      </c>
      <c r="G17" s="10">
        <f>SUM(G9:G16)</f>
        <v>119438</v>
      </c>
      <c r="H17" s="85">
        <v>0.78</v>
      </c>
      <c r="I17" s="10">
        <f>SUM(I9:I16)</f>
        <v>129171</v>
      </c>
      <c r="J17" s="85" t="e">
        <f>I17/$D$32</f>
        <v>#DIV/0!</v>
      </c>
    </row>
    <row r="18" spans="1:10">
      <c r="A18" t="s">
        <v>199</v>
      </c>
      <c r="B18" s="131">
        <v>44136</v>
      </c>
      <c r="C18" s="131">
        <v>67720</v>
      </c>
      <c r="G18" s="6"/>
      <c r="H18" s="84"/>
      <c r="I18" s="6"/>
      <c r="J18" s="84"/>
    </row>
    <row r="19" spans="1:10">
      <c r="A19" t="s">
        <v>201</v>
      </c>
      <c r="B19" s="131">
        <v>11534</v>
      </c>
      <c r="C19" s="131">
        <v>9860</v>
      </c>
      <c r="F19" s="7" t="s">
        <v>51</v>
      </c>
      <c r="G19" s="8">
        <v>15534</v>
      </c>
      <c r="H19" s="84">
        <v>0.11</v>
      </c>
      <c r="I19" s="8">
        <v>17582</v>
      </c>
      <c r="J19" s="84" t="e">
        <f>I19/$D$32</f>
        <v>#DIV/0!</v>
      </c>
    </row>
    <row r="20" spans="1:10">
      <c r="A20" t="s">
        <v>244</v>
      </c>
      <c r="B20" s="132">
        <v>0</v>
      </c>
      <c r="C20" s="132">
        <f>(C17-B17)/B17</f>
        <v>0.39356924735045806</v>
      </c>
      <c r="G20" s="6"/>
      <c r="H20" s="84"/>
      <c r="I20" s="6"/>
      <c r="J20" s="84"/>
    </row>
    <row r="21" spans="1:10">
      <c r="B21" s="133"/>
      <c r="C21" s="133"/>
      <c r="F21" s="7" t="s">
        <v>54</v>
      </c>
      <c r="G21" s="8">
        <v>2208</v>
      </c>
      <c r="H21" s="84">
        <v>0.02</v>
      </c>
      <c r="I21" s="8">
        <v>2462</v>
      </c>
      <c r="J21" s="84" t="e">
        <f>I21/$D$32</f>
        <v>#DIV/0!</v>
      </c>
    </row>
    <row r="22" spans="1:10">
      <c r="B22" s="130" t="s">
        <v>209</v>
      </c>
      <c r="C22" s="130" t="s">
        <v>209</v>
      </c>
      <c r="G22" s="6"/>
      <c r="H22" s="84"/>
      <c r="I22" s="6"/>
      <c r="J22" s="84"/>
    </row>
    <row r="23" spans="1:10">
      <c r="A23" t="s">
        <v>43</v>
      </c>
      <c r="B23" s="131">
        <v>1837</v>
      </c>
      <c r="C23" s="131">
        <v>2169</v>
      </c>
      <c r="F23" s="2" t="s">
        <v>59</v>
      </c>
      <c r="G23" s="10">
        <v>5156</v>
      </c>
      <c r="H23" s="85">
        <v>0.03</v>
      </c>
      <c r="I23" s="10">
        <f>SUM(I19:I22)</f>
        <v>20044</v>
      </c>
      <c r="J23" s="85" t="e">
        <f>I23/$D$32</f>
        <v>#DIV/0!</v>
      </c>
    </row>
    <row r="24" spans="1:10">
      <c r="A24" t="s">
        <v>249</v>
      </c>
      <c r="B24" s="132">
        <v>-0.38</v>
      </c>
      <c r="C24" s="132">
        <f>-(C23-B23)/B23</f>
        <v>-0.18072945019052802</v>
      </c>
      <c r="G24" s="6"/>
      <c r="H24" s="84"/>
      <c r="I24" s="6"/>
      <c r="J24" s="84"/>
    </row>
    <row r="25" spans="1:10">
      <c r="A25" t="s">
        <v>45</v>
      </c>
      <c r="B25" s="131">
        <v>10974</v>
      </c>
      <c r="C25" s="131">
        <v>13019</v>
      </c>
      <c r="F25" s="2" t="s">
        <v>62</v>
      </c>
      <c r="G25" s="10">
        <v>123096</v>
      </c>
      <c r="H25" s="85">
        <v>0.82</v>
      </c>
      <c r="I25" s="10">
        <v>119518</v>
      </c>
      <c r="J25" s="85" t="e">
        <f>I25/$D$32</f>
        <v>#DIV/0!</v>
      </c>
    </row>
    <row r="26" spans="1:10">
      <c r="A26" t="s">
        <v>199</v>
      </c>
      <c r="B26" s="131">
        <v>6332</v>
      </c>
      <c r="C26" s="131">
        <v>11661</v>
      </c>
      <c r="G26" s="6"/>
      <c r="H26" s="84"/>
      <c r="I26" s="6"/>
      <c r="J26" s="84"/>
    </row>
    <row r="27" spans="1:10">
      <c r="A27" t="s">
        <v>201</v>
      </c>
      <c r="B27" s="131">
        <v>1015</v>
      </c>
      <c r="C27" s="131">
        <v>1358</v>
      </c>
      <c r="F27" s="7" t="s">
        <v>65</v>
      </c>
      <c r="G27" s="8">
        <v>11940</v>
      </c>
      <c r="H27" s="84">
        <v>0.09</v>
      </c>
      <c r="I27" s="8">
        <v>24129</v>
      </c>
      <c r="J27" s="84" t="e">
        <f>I27/$D$32</f>
        <v>#DIV/0!</v>
      </c>
    </row>
    <row r="28" spans="1:10">
      <c r="A28" t="s">
        <v>249</v>
      </c>
      <c r="B28" s="132">
        <v>-0.16</v>
      </c>
      <c r="C28" s="132">
        <f>(C25-B25)/B25</f>
        <v>0.18634955349006743</v>
      </c>
      <c r="G28" s="6"/>
      <c r="H28" s="84"/>
      <c r="I28" s="6"/>
      <c r="J28" s="84"/>
    </row>
    <row r="29" spans="1:10">
      <c r="B29" s="133"/>
      <c r="C29" s="133"/>
      <c r="F29" s="7" t="s">
        <v>330</v>
      </c>
      <c r="G29" s="8">
        <v>5957</v>
      </c>
      <c r="H29" s="84">
        <v>0.04</v>
      </c>
      <c r="I29" s="8">
        <v>192</v>
      </c>
      <c r="J29" s="84" t="e">
        <f>I29/$D$32</f>
        <v>#DIV/0!</v>
      </c>
    </row>
    <row r="30" spans="1:10">
      <c r="B30" s="130" t="s">
        <v>215</v>
      </c>
      <c r="C30" s="130" t="s">
        <v>215</v>
      </c>
      <c r="F30" s="2"/>
      <c r="G30" s="5"/>
      <c r="H30" s="85"/>
      <c r="I30" s="5"/>
      <c r="J30" s="5"/>
    </row>
    <row r="31" spans="1:10">
      <c r="A31" t="s">
        <v>43</v>
      </c>
      <c r="B31" s="131">
        <v>1814</v>
      </c>
      <c r="C31" s="131">
        <v>2200</v>
      </c>
      <c r="G31" s="6"/>
      <c r="H31" s="84"/>
      <c r="I31" s="6"/>
      <c r="J31" s="6"/>
    </row>
    <row r="32" spans="1:10">
      <c r="A32" t="s">
        <v>256</v>
      </c>
      <c r="B32" s="132">
        <v>-0.33</v>
      </c>
      <c r="C32" s="132">
        <f>(C31-B31)/B31</f>
        <v>0.21278941565600881</v>
      </c>
      <c r="F32" s="3" t="s">
        <v>76</v>
      </c>
      <c r="G32" s="147">
        <v>150764</v>
      </c>
      <c r="H32" s="15">
        <v>1</v>
      </c>
      <c r="I32" s="147">
        <f>SUM(I25+I27+I29)</f>
        <v>143839</v>
      </c>
      <c r="J32" s="15" t="e">
        <f>SUM(J25+J27+J29)</f>
        <v>#DIV/0!</v>
      </c>
    </row>
    <row r="33" spans="1:10">
      <c r="A33" t="s">
        <v>45</v>
      </c>
      <c r="B33" s="131">
        <v>11002</v>
      </c>
      <c r="C33" s="131">
        <v>12705</v>
      </c>
      <c r="F33" s="2"/>
      <c r="G33" s="2"/>
      <c r="H33" s="2"/>
      <c r="I33" s="2"/>
      <c r="J33" s="2"/>
    </row>
    <row r="34" spans="1:10">
      <c r="A34" t="s">
        <v>199</v>
      </c>
      <c r="B34" s="131">
        <v>9404</v>
      </c>
      <c r="C34" s="131">
        <v>10425</v>
      </c>
    </row>
    <row r="35" spans="1:10">
      <c r="A35" t="s">
        <v>201</v>
      </c>
      <c r="B35" s="131">
        <v>1598</v>
      </c>
      <c r="C35" s="131">
        <v>2253</v>
      </c>
    </row>
    <row r="36" spans="1:10">
      <c r="A36" t="s">
        <v>256</v>
      </c>
      <c r="B36" s="132">
        <v>-0.12</v>
      </c>
      <c r="C36" s="132">
        <f>(C33-B33)/B33</f>
        <v>0.1547900381748773</v>
      </c>
      <c r="F36" s="206" t="s">
        <v>301</v>
      </c>
      <c r="G36" s="206"/>
      <c r="H36" s="206"/>
      <c r="I36" s="206"/>
      <c r="J36" s="206"/>
    </row>
    <row r="37" spans="1:10">
      <c r="B37" s="133"/>
      <c r="C37" s="133"/>
    </row>
    <row r="38" spans="1:10">
      <c r="A38" s="3" t="s">
        <v>224</v>
      </c>
      <c r="B38" s="131">
        <v>152664</v>
      </c>
      <c r="C38" s="131">
        <f>C9+C17+C25+C33</f>
        <v>172909</v>
      </c>
    </row>
  </sheetData>
  <mergeCells count="5">
    <mergeCell ref="A1:C1"/>
    <mergeCell ref="A2:C2"/>
    <mergeCell ref="F1:J1"/>
    <mergeCell ref="F2:J2"/>
    <mergeCell ref="F36:J3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8B522-DC47-420E-AA16-DDBB93EE47D9}">
  <dimension ref="A1:V109"/>
  <sheetViews>
    <sheetView workbookViewId="0">
      <selection activeCell="E3" sqref="E3"/>
    </sheetView>
  </sheetViews>
  <sheetFormatPr defaultRowHeight="15"/>
  <cols>
    <col min="4" max="4" width="11" customWidth="1"/>
    <col min="20" max="20" width="9.140625" bestFit="1" customWidth="1"/>
  </cols>
  <sheetData>
    <row r="1" spans="1:22">
      <c r="A1" s="22" t="s">
        <v>340</v>
      </c>
      <c r="B1" s="22" t="s">
        <v>341</v>
      </c>
      <c r="C1" s="22" t="s">
        <v>342</v>
      </c>
      <c r="D1" s="22" t="s">
        <v>343</v>
      </c>
      <c r="E1" s="22" t="s">
        <v>344</v>
      </c>
      <c r="F1" s="22" t="s">
        <v>345</v>
      </c>
      <c r="G1" s="22" t="s">
        <v>346</v>
      </c>
      <c r="H1" s="22" t="s">
        <v>347</v>
      </c>
      <c r="I1" s="22" t="s">
        <v>348</v>
      </c>
      <c r="J1" s="22" t="s">
        <v>349</v>
      </c>
      <c r="K1" s="22" t="s">
        <v>350</v>
      </c>
      <c r="L1" s="22" t="s">
        <v>351</v>
      </c>
      <c r="M1" s="22" t="s">
        <v>352</v>
      </c>
      <c r="N1" s="22" t="s">
        <v>353</v>
      </c>
      <c r="O1" s="22" t="s">
        <v>354</v>
      </c>
      <c r="P1" s="22" t="s">
        <v>355</v>
      </c>
      <c r="Q1" s="22" t="s">
        <v>356</v>
      </c>
      <c r="R1" s="22" t="s">
        <v>357</v>
      </c>
      <c r="S1" s="22" t="s">
        <v>358</v>
      </c>
      <c r="T1" s="22" t="s">
        <v>359</v>
      </c>
      <c r="U1" s="22" t="s">
        <v>360</v>
      </c>
      <c r="V1" s="23" t="s">
        <v>361</v>
      </c>
    </row>
    <row r="2" spans="1:22">
      <c r="A2" s="24" t="s">
        <v>362</v>
      </c>
      <c r="B2" s="25" t="s">
        <v>363</v>
      </c>
      <c r="C2" s="24" t="s">
        <v>364</v>
      </c>
      <c r="D2" s="24"/>
      <c r="E2" s="24"/>
      <c r="F2" s="24"/>
      <c r="G2" s="24"/>
      <c r="H2" s="24"/>
      <c r="I2" s="24"/>
      <c r="J2" s="24"/>
      <c r="K2" s="24"/>
      <c r="L2" s="24"/>
      <c r="M2" s="24"/>
      <c r="N2" s="24"/>
      <c r="O2" s="24"/>
      <c r="P2" s="24"/>
      <c r="Q2" s="24"/>
      <c r="R2" s="24"/>
      <c r="S2" s="24">
        <v>5</v>
      </c>
      <c r="T2" s="24"/>
      <c r="U2" s="24"/>
      <c r="V2" s="26"/>
    </row>
    <row r="3" spans="1:22">
      <c r="A3" s="27" t="s">
        <v>365</v>
      </c>
      <c r="B3" s="28" t="s">
        <v>363</v>
      </c>
      <c r="C3" s="27" t="s">
        <v>364</v>
      </c>
      <c r="D3" s="27"/>
      <c r="E3" s="27"/>
      <c r="F3" s="27"/>
      <c r="G3" s="27"/>
      <c r="H3" s="27"/>
      <c r="I3" s="27"/>
      <c r="J3" s="27"/>
      <c r="K3" s="27"/>
      <c r="L3" s="27"/>
      <c r="M3" s="27"/>
      <c r="N3" s="27"/>
      <c r="O3" s="27"/>
      <c r="P3" s="27"/>
      <c r="Q3" s="27"/>
      <c r="R3" s="27"/>
      <c r="S3" s="27">
        <v>36</v>
      </c>
      <c r="T3" s="27"/>
      <c r="U3" s="27"/>
      <c r="V3" s="29"/>
    </row>
    <row r="4" spans="1:22">
      <c r="A4" s="24" t="s">
        <v>366</v>
      </c>
      <c r="B4" s="25" t="s">
        <v>363</v>
      </c>
      <c r="C4" s="24" t="s">
        <v>364</v>
      </c>
      <c r="D4" s="24"/>
      <c r="E4" s="24"/>
      <c r="F4" s="24"/>
      <c r="G4" s="24"/>
      <c r="H4" s="24"/>
      <c r="I4" s="24"/>
      <c r="J4" s="24"/>
      <c r="K4" s="24"/>
      <c r="L4" s="24"/>
      <c r="M4" s="24"/>
      <c r="N4" s="24"/>
      <c r="O4" s="24" t="s">
        <v>367</v>
      </c>
      <c r="P4" s="24"/>
      <c r="Q4" s="24"/>
      <c r="R4" s="24">
        <v>0</v>
      </c>
      <c r="S4" s="24">
        <v>0</v>
      </c>
      <c r="T4" s="24"/>
      <c r="U4" s="24"/>
      <c r="V4" s="26"/>
    </row>
    <row r="5" spans="1:22">
      <c r="A5" s="27" t="s">
        <v>362</v>
      </c>
      <c r="B5" s="28" t="s">
        <v>363</v>
      </c>
      <c r="C5" s="27" t="s">
        <v>364</v>
      </c>
      <c r="D5" s="27"/>
      <c r="E5" s="27"/>
      <c r="F5" s="27"/>
      <c r="G5" s="27"/>
      <c r="H5" s="27"/>
      <c r="I5" s="27"/>
      <c r="J5" s="27"/>
      <c r="K5" s="27"/>
      <c r="L5" s="27"/>
      <c r="M5" s="27"/>
      <c r="N5" s="27"/>
      <c r="O5" s="27" t="s">
        <v>367</v>
      </c>
      <c r="P5" s="27"/>
      <c r="Q5" s="27"/>
      <c r="R5" s="27">
        <v>15</v>
      </c>
      <c r="S5" s="27">
        <v>23</v>
      </c>
      <c r="T5" s="27"/>
      <c r="U5" s="27"/>
      <c r="V5" s="29"/>
    </row>
    <row r="6" spans="1:22">
      <c r="A6" s="24" t="s">
        <v>365</v>
      </c>
      <c r="B6" s="25" t="s">
        <v>363</v>
      </c>
      <c r="C6" s="24" t="s">
        <v>364</v>
      </c>
      <c r="D6" s="24"/>
      <c r="E6" s="24"/>
      <c r="F6" s="24"/>
      <c r="G6" s="24"/>
      <c r="H6" s="24"/>
      <c r="I6" s="24"/>
      <c r="J6" s="24"/>
      <c r="K6" s="24"/>
      <c r="L6" s="24"/>
      <c r="M6" s="24"/>
      <c r="N6" s="24"/>
      <c r="O6" s="24" t="s">
        <v>367</v>
      </c>
      <c r="P6" s="24"/>
      <c r="Q6" s="24"/>
      <c r="R6" s="24">
        <v>16</v>
      </c>
      <c r="S6" s="24">
        <v>55</v>
      </c>
      <c r="T6" s="24"/>
      <c r="U6" s="24"/>
      <c r="V6" s="26"/>
    </row>
    <row r="7" spans="1:22">
      <c r="A7" s="27" t="s">
        <v>368</v>
      </c>
      <c r="B7" s="28" t="s">
        <v>363</v>
      </c>
      <c r="C7" s="27" t="s">
        <v>364</v>
      </c>
      <c r="D7" s="27"/>
      <c r="E7" s="27"/>
      <c r="F7" s="27"/>
      <c r="G7" s="27"/>
      <c r="H7" s="27"/>
      <c r="I7" s="27"/>
      <c r="J7" s="27"/>
      <c r="K7" s="27"/>
      <c r="L7" s="27"/>
      <c r="M7" s="27"/>
      <c r="N7" s="27"/>
      <c r="O7" s="27" t="s">
        <v>367</v>
      </c>
      <c r="P7" s="27"/>
      <c r="Q7" s="27"/>
      <c r="R7" s="27">
        <v>21</v>
      </c>
      <c r="S7" s="27">
        <v>66</v>
      </c>
      <c r="T7" s="27"/>
      <c r="U7" s="27"/>
      <c r="V7" s="29"/>
    </row>
    <row r="8" spans="1:22">
      <c r="A8" s="24" t="s">
        <v>366</v>
      </c>
      <c r="B8" s="25" t="s">
        <v>363</v>
      </c>
      <c r="C8" s="24" t="s">
        <v>369</v>
      </c>
      <c r="D8" s="24" t="s">
        <v>370</v>
      </c>
      <c r="E8" s="24"/>
      <c r="F8" s="24" t="s">
        <v>371</v>
      </c>
      <c r="G8" s="24"/>
      <c r="H8" s="24"/>
      <c r="I8" s="24"/>
      <c r="J8" s="24">
        <v>6</v>
      </c>
      <c r="K8" s="24">
        <v>95</v>
      </c>
      <c r="L8" s="24">
        <v>0</v>
      </c>
      <c r="M8" s="24">
        <v>0</v>
      </c>
      <c r="N8" s="24">
        <v>3</v>
      </c>
      <c r="O8" s="24" t="s">
        <v>372</v>
      </c>
      <c r="P8" s="24">
        <v>74</v>
      </c>
      <c r="Q8" s="24"/>
      <c r="R8" s="24"/>
      <c r="S8" s="24"/>
      <c r="T8" s="24"/>
      <c r="U8" s="24"/>
      <c r="V8" s="26"/>
    </row>
    <row r="9" spans="1:22">
      <c r="A9" s="27" t="s">
        <v>365</v>
      </c>
      <c r="B9" s="28" t="s">
        <v>363</v>
      </c>
      <c r="C9" s="27" t="s">
        <v>369</v>
      </c>
      <c r="D9" s="27" t="s">
        <v>370</v>
      </c>
      <c r="E9" s="27"/>
      <c r="F9" s="27" t="s">
        <v>371</v>
      </c>
      <c r="G9" s="27"/>
      <c r="H9" s="27"/>
      <c r="I9" s="27"/>
      <c r="J9" s="27">
        <v>9</v>
      </c>
      <c r="K9" s="27">
        <v>345</v>
      </c>
      <c r="L9" s="27">
        <v>1</v>
      </c>
      <c r="M9" s="27">
        <v>30</v>
      </c>
      <c r="N9" s="27">
        <v>0</v>
      </c>
      <c r="O9" s="27" t="s">
        <v>372</v>
      </c>
      <c r="P9" s="27">
        <v>0</v>
      </c>
      <c r="Q9" s="27"/>
      <c r="R9" s="27"/>
      <c r="S9" s="27"/>
      <c r="T9" s="27"/>
      <c r="U9" s="27"/>
      <c r="V9" s="29"/>
    </row>
    <row r="10" spans="1:22">
      <c r="A10" s="24" t="s">
        <v>368</v>
      </c>
      <c r="B10" s="25" t="s">
        <v>363</v>
      </c>
      <c r="C10" s="24" t="s">
        <v>369</v>
      </c>
      <c r="D10" s="24" t="s">
        <v>370</v>
      </c>
      <c r="E10" s="24"/>
      <c r="F10" s="24" t="s">
        <v>371</v>
      </c>
      <c r="G10" s="24"/>
      <c r="H10" s="24"/>
      <c r="I10" s="24"/>
      <c r="J10" s="24">
        <v>10</v>
      </c>
      <c r="K10" s="24">
        <v>137</v>
      </c>
      <c r="L10" s="24">
        <v>0</v>
      </c>
      <c r="M10" s="24">
        <v>0</v>
      </c>
      <c r="N10" s="24">
        <v>0</v>
      </c>
      <c r="O10" s="24" t="s">
        <v>372</v>
      </c>
      <c r="P10" s="24">
        <v>0</v>
      </c>
      <c r="Q10" s="24"/>
      <c r="R10" s="24"/>
      <c r="S10" s="24"/>
      <c r="T10" s="24"/>
      <c r="U10" s="24"/>
      <c r="V10" s="26"/>
    </row>
    <row r="11" spans="1:22">
      <c r="A11" s="27" t="s">
        <v>366</v>
      </c>
      <c r="B11" s="28" t="s">
        <v>363</v>
      </c>
      <c r="C11" s="27" t="s">
        <v>364</v>
      </c>
      <c r="D11" s="27"/>
      <c r="E11" s="27"/>
      <c r="F11" s="27"/>
      <c r="G11" s="27"/>
      <c r="H11" s="27"/>
      <c r="I11" s="27"/>
      <c r="J11" s="27"/>
      <c r="K11" s="27"/>
      <c r="L11" s="27"/>
      <c r="M11" s="27"/>
      <c r="N11" s="27"/>
      <c r="O11" s="27"/>
      <c r="P11" s="27"/>
      <c r="Q11" s="27"/>
      <c r="R11" s="27"/>
      <c r="S11" s="27">
        <v>2</v>
      </c>
      <c r="T11" s="27"/>
      <c r="U11" s="27"/>
      <c r="V11" s="29"/>
    </row>
    <row r="12" spans="1:22">
      <c r="A12" s="24" t="s">
        <v>362</v>
      </c>
      <c r="B12" s="25" t="s">
        <v>363</v>
      </c>
      <c r="C12" s="24" t="s">
        <v>364</v>
      </c>
      <c r="D12" s="24"/>
      <c r="E12" s="24"/>
      <c r="F12" s="24"/>
      <c r="G12" s="24"/>
      <c r="H12" s="24"/>
      <c r="I12" s="24"/>
      <c r="J12" s="24"/>
      <c r="K12" s="24"/>
      <c r="L12" s="24"/>
      <c r="M12" s="24"/>
      <c r="N12" s="24"/>
      <c r="O12" s="24"/>
      <c r="P12" s="24"/>
      <c r="Q12" s="24"/>
      <c r="R12" s="24"/>
      <c r="S12" s="24">
        <v>15</v>
      </c>
      <c r="T12" s="24"/>
      <c r="U12" s="24"/>
      <c r="V12" s="26"/>
    </row>
    <row r="13" spans="1:22">
      <c r="A13" s="27" t="s">
        <v>365</v>
      </c>
      <c r="B13" s="28" t="s">
        <v>363</v>
      </c>
      <c r="C13" s="27" t="s">
        <v>364</v>
      </c>
      <c r="D13" s="27"/>
      <c r="E13" s="27"/>
      <c r="F13" s="27"/>
      <c r="G13" s="27"/>
      <c r="H13" s="27"/>
      <c r="I13" s="27"/>
      <c r="J13" s="27"/>
      <c r="K13" s="27"/>
      <c r="L13" s="27"/>
      <c r="M13" s="27"/>
      <c r="N13" s="27"/>
      <c r="O13" s="27"/>
      <c r="P13" s="27"/>
      <c r="Q13" s="27"/>
      <c r="R13" s="27"/>
      <c r="S13" s="27">
        <v>63</v>
      </c>
      <c r="T13" s="27"/>
      <c r="U13" s="27"/>
      <c r="V13" s="29"/>
    </row>
    <row r="14" spans="1:22">
      <c r="A14" s="24" t="s">
        <v>368</v>
      </c>
      <c r="B14" s="25" t="s">
        <v>363</v>
      </c>
      <c r="C14" s="24" t="s">
        <v>364</v>
      </c>
      <c r="D14" s="24"/>
      <c r="E14" s="24"/>
      <c r="F14" s="24"/>
      <c r="G14" s="24"/>
      <c r="H14" s="24"/>
      <c r="I14" s="24"/>
      <c r="J14" s="24"/>
      <c r="K14" s="24"/>
      <c r="L14" s="24"/>
      <c r="M14" s="24"/>
      <c r="N14" s="24"/>
      <c r="O14" s="24"/>
      <c r="P14" s="24"/>
      <c r="Q14" s="24"/>
      <c r="R14" s="24"/>
      <c r="S14" s="24">
        <v>40</v>
      </c>
      <c r="T14" s="24"/>
      <c r="U14" s="24"/>
      <c r="V14" s="26"/>
    </row>
    <row r="15" spans="1:22">
      <c r="A15" s="27" t="s">
        <v>365</v>
      </c>
      <c r="B15" s="28" t="s">
        <v>363</v>
      </c>
      <c r="C15" s="27" t="s">
        <v>373</v>
      </c>
      <c r="D15" s="27"/>
      <c r="E15" s="27"/>
      <c r="F15" s="27"/>
      <c r="G15" s="27"/>
      <c r="H15" s="27"/>
      <c r="I15" s="27"/>
      <c r="J15" s="27"/>
      <c r="K15" s="27"/>
      <c r="L15" s="27"/>
      <c r="M15" s="27"/>
      <c r="N15" s="27"/>
      <c r="O15" s="27"/>
      <c r="P15" s="27"/>
      <c r="Q15" s="27"/>
      <c r="R15" s="27"/>
      <c r="S15" s="27"/>
      <c r="T15" s="27" t="s">
        <v>374</v>
      </c>
      <c r="U15" s="27">
        <v>3</v>
      </c>
      <c r="V15" s="29"/>
    </row>
    <row r="16" spans="1:22">
      <c r="A16" s="24" t="s">
        <v>362</v>
      </c>
      <c r="B16" s="25" t="s">
        <v>363</v>
      </c>
      <c r="C16" s="24" t="s">
        <v>373</v>
      </c>
      <c r="D16" s="24"/>
      <c r="E16" s="24"/>
      <c r="F16" s="24"/>
      <c r="G16" s="24"/>
      <c r="H16" s="24"/>
      <c r="I16" s="24"/>
      <c r="J16" s="24"/>
      <c r="K16" s="24"/>
      <c r="L16" s="24"/>
      <c r="M16" s="24"/>
      <c r="N16" s="24"/>
      <c r="O16" s="24"/>
      <c r="P16" s="24"/>
      <c r="Q16" s="24"/>
      <c r="R16" s="24"/>
      <c r="S16" s="24"/>
      <c r="T16" s="24" t="s">
        <v>375</v>
      </c>
      <c r="U16" s="24">
        <v>6</v>
      </c>
      <c r="V16" s="26">
        <v>0</v>
      </c>
    </row>
    <row r="17" spans="1:22">
      <c r="A17" s="27" t="s">
        <v>362</v>
      </c>
      <c r="B17" s="28" t="s">
        <v>363</v>
      </c>
      <c r="C17" s="27" t="s">
        <v>364</v>
      </c>
      <c r="D17" s="27"/>
      <c r="E17" s="27"/>
      <c r="F17" s="27"/>
      <c r="G17" s="27"/>
      <c r="H17" s="27"/>
      <c r="I17" s="27"/>
      <c r="J17" s="27"/>
      <c r="K17" s="27"/>
      <c r="L17" s="27"/>
      <c r="M17" s="27"/>
      <c r="N17" s="27"/>
      <c r="O17" s="27" t="s">
        <v>376</v>
      </c>
      <c r="P17" s="27"/>
      <c r="Q17" s="27"/>
      <c r="R17" s="27">
        <v>654</v>
      </c>
      <c r="S17" s="27">
        <v>7</v>
      </c>
      <c r="T17" s="27"/>
      <c r="U17" s="27"/>
      <c r="V17" s="29"/>
    </row>
    <row r="18" spans="1:22">
      <c r="A18" s="24" t="s">
        <v>362</v>
      </c>
      <c r="B18" s="25" t="s">
        <v>363</v>
      </c>
      <c r="C18" s="24" t="s">
        <v>369</v>
      </c>
      <c r="D18" s="24" t="s">
        <v>377</v>
      </c>
      <c r="E18" s="24"/>
      <c r="F18" s="24"/>
      <c r="G18" s="24" t="s">
        <v>371</v>
      </c>
      <c r="H18" s="24"/>
      <c r="I18" s="24"/>
      <c r="J18" s="24">
        <v>7</v>
      </c>
      <c r="K18" s="24">
        <v>71</v>
      </c>
      <c r="L18" s="24"/>
      <c r="M18" s="24"/>
      <c r="N18" s="24"/>
      <c r="O18" s="24" t="s">
        <v>376</v>
      </c>
      <c r="P18" s="24"/>
      <c r="Q18" s="24"/>
      <c r="R18" s="24"/>
      <c r="S18" s="24"/>
      <c r="T18" s="24"/>
      <c r="U18" s="24"/>
      <c r="V18" s="26"/>
    </row>
    <row r="19" spans="1:22">
      <c r="A19" s="27" t="s">
        <v>362</v>
      </c>
      <c r="B19" s="28" t="s">
        <v>363</v>
      </c>
      <c r="C19" s="27" t="s">
        <v>369</v>
      </c>
      <c r="D19" s="27" t="s">
        <v>378</v>
      </c>
      <c r="E19" s="27" t="s">
        <v>379</v>
      </c>
      <c r="F19" s="27"/>
      <c r="G19" s="27"/>
      <c r="H19" s="27"/>
      <c r="I19" s="27"/>
      <c r="J19" s="27">
        <v>1</v>
      </c>
      <c r="K19" s="27">
        <v>42</v>
      </c>
      <c r="L19" s="27"/>
      <c r="M19" s="27"/>
      <c r="N19" s="27"/>
      <c r="O19" s="27" t="s">
        <v>376</v>
      </c>
      <c r="P19" s="27"/>
      <c r="Q19" s="27"/>
      <c r="R19" s="27"/>
      <c r="S19" s="27"/>
      <c r="T19" s="27"/>
      <c r="U19" s="27"/>
      <c r="V19" s="29"/>
    </row>
    <row r="20" spans="1:22">
      <c r="A20" s="24" t="s">
        <v>362</v>
      </c>
      <c r="B20" s="25" t="s">
        <v>363</v>
      </c>
      <c r="C20" s="24" t="s">
        <v>369</v>
      </c>
      <c r="D20" s="24" t="s">
        <v>380</v>
      </c>
      <c r="E20" s="24"/>
      <c r="F20" s="24"/>
      <c r="G20" s="24"/>
      <c r="H20" s="24"/>
      <c r="I20" s="24"/>
      <c r="J20" s="24">
        <v>5</v>
      </c>
      <c r="K20" s="24">
        <v>91</v>
      </c>
      <c r="L20" s="24"/>
      <c r="M20" s="24"/>
      <c r="N20" s="24"/>
      <c r="O20" s="24" t="s">
        <v>376</v>
      </c>
      <c r="P20" s="24"/>
      <c r="Q20" s="24"/>
      <c r="R20" s="24"/>
      <c r="S20" s="24"/>
      <c r="T20" s="24"/>
      <c r="U20" s="24"/>
      <c r="V20" s="26"/>
    </row>
    <row r="21" spans="1:22">
      <c r="A21" s="27" t="s">
        <v>365</v>
      </c>
      <c r="B21" s="28" t="s">
        <v>363</v>
      </c>
      <c r="C21" s="27" t="s">
        <v>373</v>
      </c>
      <c r="D21" s="27"/>
      <c r="E21" s="27"/>
      <c r="F21" s="27"/>
      <c r="G21" s="27"/>
      <c r="H21" s="27"/>
      <c r="I21" s="27"/>
      <c r="J21" s="27"/>
      <c r="K21" s="27"/>
      <c r="L21" s="27"/>
      <c r="M21" s="27"/>
      <c r="N21" s="27"/>
      <c r="O21" s="27"/>
      <c r="P21" s="27"/>
      <c r="Q21" s="27"/>
      <c r="R21" s="27"/>
      <c r="S21" s="27"/>
      <c r="T21" s="27" t="s">
        <v>375</v>
      </c>
      <c r="U21" s="27">
        <v>28</v>
      </c>
      <c r="V21" s="29">
        <v>31</v>
      </c>
    </row>
    <row r="22" spans="1:22">
      <c r="A22" s="24" t="s">
        <v>365</v>
      </c>
      <c r="B22" s="25" t="s">
        <v>363</v>
      </c>
      <c r="C22" s="24" t="s">
        <v>364</v>
      </c>
      <c r="D22" s="24"/>
      <c r="E22" s="24"/>
      <c r="F22" s="24"/>
      <c r="G22" s="24"/>
      <c r="H22" s="24"/>
      <c r="I22" s="24"/>
      <c r="J22" s="24"/>
      <c r="K22" s="24"/>
      <c r="L22" s="24"/>
      <c r="M22" s="24"/>
      <c r="N22" s="24"/>
      <c r="O22" s="24" t="s">
        <v>376</v>
      </c>
      <c r="P22" s="24"/>
      <c r="Q22" s="24"/>
      <c r="R22" s="24">
        <v>851</v>
      </c>
      <c r="S22" s="24">
        <v>6</v>
      </c>
      <c r="T22" s="24"/>
      <c r="U22" s="24"/>
      <c r="V22" s="26"/>
    </row>
    <row r="23" spans="1:22">
      <c r="A23" s="27" t="s">
        <v>365</v>
      </c>
      <c r="B23" s="28" t="s">
        <v>363</v>
      </c>
      <c r="C23" s="27" t="s">
        <v>369</v>
      </c>
      <c r="D23" s="27" t="s">
        <v>377</v>
      </c>
      <c r="E23" s="27"/>
      <c r="F23" s="27"/>
      <c r="G23" s="27" t="s">
        <v>371</v>
      </c>
      <c r="H23" s="27"/>
      <c r="I23" s="27"/>
      <c r="J23" s="27">
        <v>11</v>
      </c>
      <c r="K23" s="27">
        <v>127</v>
      </c>
      <c r="L23" s="27"/>
      <c r="M23" s="27">
        <v>20</v>
      </c>
      <c r="N23" s="27"/>
      <c r="O23" s="27" t="s">
        <v>376</v>
      </c>
      <c r="P23" s="27"/>
      <c r="Q23" s="27"/>
      <c r="R23" s="27"/>
      <c r="S23" s="27"/>
      <c r="T23" s="27"/>
      <c r="U23" s="27"/>
      <c r="V23" s="29"/>
    </row>
    <row r="24" spans="1:22">
      <c r="A24" s="24" t="s">
        <v>365</v>
      </c>
      <c r="B24" s="25" t="s">
        <v>363</v>
      </c>
      <c r="C24" s="24" t="s">
        <v>369</v>
      </c>
      <c r="D24" s="24" t="s">
        <v>378</v>
      </c>
      <c r="E24" s="24" t="s">
        <v>379</v>
      </c>
      <c r="F24" s="24"/>
      <c r="G24" s="24"/>
      <c r="H24" s="24"/>
      <c r="I24" s="24"/>
      <c r="J24" s="24">
        <v>1</v>
      </c>
      <c r="K24" s="24">
        <v>30</v>
      </c>
      <c r="L24" s="24"/>
      <c r="M24" s="24"/>
      <c r="N24" s="24"/>
      <c r="O24" s="24" t="s">
        <v>376</v>
      </c>
      <c r="P24" s="24"/>
      <c r="Q24" s="24"/>
      <c r="R24" s="24"/>
      <c r="S24" s="24"/>
      <c r="T24" s="24"/>
      <c r="U24" s="24"/>
      <c r="V24" s="26"/>
    </row>
    <row r="25" spans="1:22">
      <c r="A25" s="27" t="s">
        <v>365</v>
      </c>
      <c r="B25" s="28" t="s">
        <v>363</v>
      </c>
      <c r="C25" s="27" t="s">
        <v>369</v>
      </c>
      <c r="D25" s="27" t="s">
        <v>380</v>
      </c>
      <c r="E25" s="27"/>
      <c r="F25" s="27"/>
      <c r="G25" s="27"/>
      <c r="H25" s="27"/>
      <c r="I25" s="27"/>
      <c r="J25" s="27">
        <v>4</v>
      </c>
      <c r="K25" s="27">
        <v>9</v>
      </c>
      <c r="L25" s="27"/>
      <c r="M25" s="27"/>
      <c r="N25" s="27"/>
      <c r="O25" s="27" t="s">
        <v>376</v>
      </c>
      <c r="P25" s="27"/>
      <c r="Q25" s="27"/>
      <c r="R25" s="27"/>
      <c r="S25" s="27"/>
      <c r="T25" s="27"/>
      <c r="U25" s="27"/>
      <c r="V25" s="29"/>
    </row>
    <row r="26" spans="1:22">
      <c r="A26" s="24" t="s">
        <v>368</v>
      </c>
      <c r="B26" s="25" t="s">
        <v>363</v>
      </c>
      <c r="C26" s="24" t="s">
        <v>373</v>
      </c>
      <c r="D26" s="24"/>
      <c r="E26" s="24"/>
      <c r="F26" s="24"/>
      <c r="G26" s="24"/>
      <c r="H26" s="24"/>
      <c r="I26" s="24"/>
      <c r="J26" s="24"/>
      <c r="K26" s="24"/>
      <c r="L26" s="24"/>
      <c r="M26" s="24"/>
      <c r="N26" s="24"/>
      <c r="O26" s="24"/>
      <c r="P26" s="24"/>
      <c r="Q26" s="24"/>
      <c r="R26" s="24"/>
      <c r="S26" s="24"/>
      <c r="T26" s="24" t="s">
        <v>375</v>
      </c>
      <c r="U26" s="24">
        <v>15</v>
      </c>
      <c r="V26" s="26">
        <v>1</v>
      </c>
    </row>
    <row r="27" spans="1:22">
      <c r="A27" s="27" t="s">
        <v>368</v>
      </c>
      <c r="B27" s="28" t="s">
        <v>363</v>
      </c>
      <c r="C27" s="27" t="s">
        <v>364</v>
      </c>
      <c r="D27" s="27"/>
      <c r="E27" s="27"/>
      <c r="F27" s="27"/>
      <c r="G27" s="27"/>
      <c r="H27" s="27"/>
      <c r="I27" s="27"/>
      <c r="J27" s="27"/>
      <c r="K27" s="27"/>
      <c r="L27" s="27"/>
      <c r="M27" s="27"/>
      <c r="N27" s="27"/>
      <c r="O27" s="27" t="s">
        <v>376</v>
      </c>
      <c r="P27" s="27"/>
      <c r="Q27" s="27"/>
      <c r="R27" s="27">
        <v>658</v>
      </c>
      <c r="S27" s="27">
        <v>7</v>
      </c>
      <c r="T27" s="27"/>
      <c r="U27" s="27"/>
      <c r="V27" s="29"/>
    </row>
    <row r="28" spans="1:22">
      <c r="A28" s="24" t="s">
        <v>368</v>
      </c>
      <c r="B28" s="25" t="s">
        <v>363</v>
      </c>
      <c r="C28" s="24" t="s">
        <v>369</v>
      </c>
      <c r="D28" s="24" t="s">
        <v>377</v>
      </c>
      <c r="E28" s="24"/>
      <c r="F28" s="24"/>
      <c r="G28" s="24" t="s">
        <v>371</v>
      </c>
      <c r="H28" s="24"/>
      <c r="I28" s="24"/>
      <c r="J28" s="24">
        <v>6</v>
      </c>
      <c r="K28" s="24">
        <v>39</v>
      </c>
      <c r="L28" s="24"/>
      <c r="M28" s="24"/>
      <c r="N28" s="24"/>
      <c r="O28" s="24" t="s">
        <v>376</v>
      </c>
      <c r="P28" s="24"/>
      <c r="Q28" s="24"/>
      <c r="R28" s="24"/>
      <c r="S28" s="24"/>
      <c r="T28" s="24"/>
      <c r="U28" s="24"/>
      <c r="V28" s="26"/>
    </row>
    <row r="29" spans="1:22">
      <c r="A29" s="27" t="s">
        <v>368</v>
      </c>
      <c r="B29" s="28" t="s">
        <v>363</v>
      </c>
      <c r="C29" s="27" t="s">
        <v>369</v>
      </c>
      <c r="D29" s="27" t="s">
        <v>380</v>
      </c>
      <c r="E29" s="27"/>
      <c r="F29" s="27"/>
      <c r="G29" s="27"/>
      <c r="H29" s="27"/>
      <c r="I29" s="27"/>
      <c r="J29" s="27">
        <v>3</v>
      </c>
      <c r="K29" s="27">
        <v>47</v>
      </c>
      <c r="L29" s="27"/>
      <c r="M29" s="27"/>
      <c r="N29" s="27"/>
      <c r="O29" s="27" t="s">
        <v>376</v>
      </c>
      <c r="P29" s="27"/>
      <c r="Q29" s="27"/>
      <c r="R29" s="27"/>
      <c r="S29" s="27"/>
      <c r="T29" s="27"/>
      <c r="U29" s="27"/>
      <c r="V29" s="29"/>
    </row>
    <row r="30" spans="1:22">
      <c r="A30" s="24" t="s">
        <v>381</v>
      </c>
      <c r="B30" s="25" t="s">
        <v>363</v>
      </c>
      <c r="C30" s="24" t="s">
        <v>373</v>
      </c>
      <c r="D30" s="24"/>
      <c r="E30" s="24"/>
      <c r="F30" s="24"/>
      <c r="G30" s="24"/>
      <c r="H30" s="24"/>
      <c r="I30" s="24"/>
      <c r="J30" s="24"/>
      <c r="K30" s="24"/>
      <c r="L30" s="24"/>
      <c r="M30" s="24"/>
      <c r="N30" s="24"/>
      <c r="O30" s="24"/>
      <c r="P30" s="24"/>
      <c r="Q30" s="24"/>
      <c r="R30" s="24"/>
      <c r="S30" s="24"/>
      <c r="T30" s="24" t="s">
        <v>375</v>
      </c>
      <c r="U30" s="24">
        <v>3</v>
      </c>
      <c r="V30" s="26"/>
    </row>
    <row r="31" spans="1:22">
      <c r="A31" s="27" t="s">
        <v>381</v>
      </c>
      <c r="B31" s="28" t="s">
        <v>363</v>
      </c>
      <c r="C31" s="27" t="s">
        <v>364</v>
      </c>
      <c r="D31" s="27"/>
      <c r="E31" s="27"/>
      <c r="F31" s="27"/>
      <c r="G31" s="27"/>
      <c r="H31" s="27"/>
      <c r="I31" s="27"/>
      <c r="J31" s="27"/>
      <c r="K31" s="27"/>
      <c r="L31" s="27"/>
      <c r="M31" s="27"/>
      <c r="N31" s="27"/>
      <c r="O31" s="27" t="s">
        <v>376</v>
      </c>
      <c r="P31" s="27"/>
      <c r="Q31" s="27"/>
      <c r="R31" s="27">
        <v>285</v>
      </c>
      <c r="S31" s="27"/>
      <c r="T31" s="27"/>
      <c r="U31" s="27"/>
      <c r="V31" s="29"/>
    </row>
    <row r="32" spans="1:22">
      <c r="A32" s="24" t="s">
        <v>366</v>
      </c>
      <c r="B32" s="25" t="s">
        <v>363</v>
      </c>
      <c r="C32" s="24" t="s">
        <v>364</v>
      </c>
      <c r="D32" s="24"/>
      <c r="E32" s="24"/>
      <c r="F32" s="24"/>
      <c r="G32" s="24"/>
      <c r="H32" s="24"/>
      <c r="I32" s="24"/>
      <c r="J32" s="24"/>
      <c r="K32" s="24"/>
      <c r="L32" s="24"/>
      <c r="M32" s="24"/>
      <c r="N32" s="24"/>
      <c r="O32" s="24" t="s">
        <v>382</v>
      </c>
      <c r="P32" s="24"/>
      <c r="Q32" s="24"/>
      <c r="R32" s="24">
        <v>1539</v>
      </c>
      <c r="S32" s="24">
        <v>0</v>
      </c>
      <c r="T32" s="24"/>
      <c r="U32" s="24"/>
      <c r="V32" s="26"/>
    </row>
    <row r="33" spans="1:22">
      <c r="A33" s="27" t="s">
        <v>362</v>
      </c>
      <c r="B33" s="28" t="s">
        <v>363</v>
      </c>
      <c r="C33" s="27" t="s">
        <v>364</v>
      </c>
      <c r="D33" s="27"/>
      <c r="E33" s="27"/>
      <c r="F33" s="27"/>
      <c r="G33" s="27"/>
      <c r="H33" s="27"/>
      <c r="I33" s="27"/>
      <c r="J33" s="27"/>
      <c r="K33" s="27"/>
      <c r="L33" s="27"/>
      <c r="M33" s="27"/>
      <c r="N33" s="27"/>
      <c r="O33" s="27" t="s">
        <v>382</v>
      </c>
      <c r="P33" s="27"/>
      <c r="Q33" s="27"/>
      <c r="R33" s="27">
        <v>2672</v>
      </c>
      <c r="S33" s="27">
        <v>2</v>
      </c>
      <c r="T33" s="27"/>
      <c r="U33" s="27"/>
      <c r="V33" s="29"/>
    </row>
    <row r="34" spans="1:22">
      <c r="A34" s="24" t="s">
        <v>365</v>
      </c>
      <c r="B34" s="25" t="s">
        <v>363</v>
      </c>
      <c r="C34" s="24" t="s">
        <v>364</v>
      </c>
      <c r="D34" s="24"/>
      <c r="E34" s="24"/>
      <c r="F34" s="24"/>
      <c r="G34" s="24"/>
      <c r="H34" s="24"/>
      <c r="I34" s="24"/>
      <c r="J34" s="24"/>
      <c r="K34" s="24"/>
      <c r="L34" s="24"/>
      <c r="M34" s="24"/>
      <c r="N34" s="24"/>
      <c r="O34" s="24" t="s">
        <v>382</v>
      </c>
      <c r="P34" s="24"/>
      <c r="Q34" s="24"/>
      <c r="R34" s="24">
        <v>1930</v>
      </c>
      <c r="S34" s="24">
        <v>0</v>
      </c>
      <c r="T34" s="24"/>
      <c r="U34" s="24"/>
      <c r="V34" s="26"/>
    </row>
    <row r="35" spans="1:22">
      <c r="A35" s="27" t="s">
        <v>368</v>
      </c>
      <c r="B35" s="28" t="s">
        <v>363</v>
      </c>
      <c r="C35" s="27" t="s">
        <v>364</v>
      </c>
      <c r="D35" s="27"/>
      <c r="E35" s="27"/>
      <c r="F35" s="27"/>
      <c r="G35" s="27"/>
      <c r="H35" s="27"/>
      <c r="I35" s="27"/>
      <c r="J35" s="27"/>
      <c r="K35" s="27"/>
      <c r="L35" s="27"/>
      <c r="M35" s="27"/>
      <c r="N35" s="27"/>
      <c r="O35" s="27" t="s">
        <v>382</v>
      </c>
      <c r="P35" s="27"/>
      <c r="Q35" s="27"/>
      <c r="R35" s="27">
        <v>766</v>
      </c>
      <c r="S35" s="27">
        <v>0</v>
      </c>
      <c r="T35" s="27"/>
      <c r="U35" s="27"/>
      <c r="V35" s="29"/>
    </row>
    <row r="36" spans="1:22">
      <c r="A36" s="24" t="s">
        <v>381</v>
      </c>
      <c r="B36" s="25" t="s">
        <v>363</v>
      </c>
      <c r="C36" s="24" t="s">
        <v>364</v>
      </c>
      <c r="D36" s="24"/>
      <c r="E36" s="24"/>
      <c r="F36" s="24"/>
      <c r="G36" s="24"/>
      <c r="H36" s="24"/>
      <c r="I36" s="24"/>
      <c r="J36" s="24"/>
      <c r="K36" s="24"/>
      <c r="L36" s="24"/>
      <c r="M36" s="24"/>
      <c r="N36" s="24"/>
      <c r="O36" s="24" t="s">
        <v>382</v>
      </c>
      <c r="P36" s="24"/>
      <c r="Q36" s="24"/>
      <c r="R36" s="24">
        <v>496</v>
      </c>
      <c r="S36" s="24">
        <v>0</v>
      </c>
      <c r="T36" s="24"/>
      <c r="U36" s="24"/>
      <c r="V36" s="26"/>
    </row>
    <row r="37" spans="1:22">
      <c r="A37" s="27" t="s">
        <v>366</v>
      </c>
      <c r="B37" s="28" t="s">
        <v>363</v>
      </c>
      <c r="C37" s="27" t="s">
        <v>373</v>
      </c>
      <c r="D37" s="27"/>
      <c r="E37" s="27"/>
      <c r="F37" s="27"/>
      <c r="G37" s="27"/>
      <c r="H37" s="27"/>
      <c r="I37" s="27"/>
      <c r="J37" s="27"/>
      <c r="K37" s="27"/>
      <c r="L37" s="27"/>
      <c r="M37" s="27"/>
      <c r="N37" s="27"/>
      <c r="O37" s="27"/>
      <c r="P37" s="27"/>
      <c r="Q37" s="27"/>
      <c r="R37" s="27"/>
      <c r="S37" s="27"/>
      <c r="T37" s="27" t="s">
        <v>375</v>
      </c>
      <c r="U37" s="27">
        <v>32</v>
      </c>
      <c r="V37" s="29"/>
    </row>
    <row r="38" spans="1:22">
      <c r="A38" s="24" t="s">
        <v>366</v>
      </c>
      <c r="B38" s="25" t="s">
        <v>363</v>
      </c>
      <c r="C38" s="24" t="s">
        <v>364</v>
      </c>
      <c r="D38" s="24"/>
      <c r="E38" s="24"/>
      <c r="F38" s="24"/>
      <c r="G38" s="24"/>
      <c r="H38" s="24"/>
      <c r="I38" s="24"/>
      <c r="J38" s="24"/>
      <c r="K38" s="24"/>
      <c r="L38" s="24"/>
      <c r="M38" s="24"/>
      <c r="N38" s="24"/>
      <c r="O38" s="24" t="s">
        <v>376</v>
      </c>
      <c r="P38" s="24"/>
      <c r="Q38" s="24"/>
      <c r="R38" s="24">
        <v>298</v>
      </c>
      <c r="S38" s="24"/>
      <c r="T38" s="24"/>
      <c r="U38" s="24"/>
      <c r="V38" s="26"/>
    </row>
    <row r="39" spans="1:22">
      <c r="A39" s="27" t="s">
        <v>366</v>
      </c>
      <c r="B39" s="28" t="s">
        <v>363</v>
      </c>
      <c r="C39" s="27" t="s">
        <v>369</v>
      </c>
      <c r="D39" s="27" t="s">
        <v>377</v>
      </c>
      <c r="E39" s="27"/>
      <c r="F39" s="27"/>
      <c r="G39" s="27" t="s">
        <v>371</v>
      </c>
      <c r="H39" s="27"/>
      <c r="I39" s="27"/>
      <c r="J39" s="27">
        <v>1</v>
      </c>
      <c r="K39" s="27">
        <v>8</v>
      </c>
      <c r="L39" s="27"/>
      <c r="M39" s="27"/>
      <c r="N39" s="27"/>
      <c r="O39" s="27"/>
      <c r="P39" s="27"/>
      <c r="Q39" s="27"/>
      <c r="R39" s="27"/>
      <c r="S39" s="27"/>
      <c r="T39" s="27"/>
      <c r="U39" s="27"/>
      <c r="V39" s="29"/>
    </row>
    <row r="40" spans="1:22">
      <c r="A40" s="24" t="s">
        <v>366</v>
      </c>
      <c r="B40" s="25" t="s">
        <v>363</v>
      </c>
      <c r="C40" s="24" t="s">
        <v>369</v>
      </c>
      <c r="D40" s="24" t="s">
        <v>380</v>
      </c>
      <c r="E40" s="24"/>
      <c r="F40" s="24"/>
      <c r="G40" s="24"/>
      <c r="H40" s="24"/>
      <c r="I40" s="24"/>
      <c r="J40" s="24">
        <v>1</v>
      </c>
      <c r="K40" s="24">
        <v>30</v>
      </c>
      <c r="L40" s="24"/>
      <c r="M40" s="24"/>
      <c r="N40" s="24"/>
      <c r="O40" s="24" t="s">
        <v>376</v>
      </c>
      <c r="P40" s="24"/>
      <c r="Q40" s="24"/>
      <c r="R40" s="24"/>
      <c r="S40" s="24"/>
      <c r="T40" s="24"/>
      <c r="U40" s="24"/>
      <c r="V40" s="26"/>
    </row>
    <row r="41" spans="1:22">
      <c r="A41" s="27" t="s">
        <v>362</v>
      </c>
      <c r="B41" s="28" t="s">
        <v>363</v>
      </c>
      <c r="C41" s="27" t="s">
        <v>373</v>
      </c>
      <c r="D41" s="27"/>
      <c r="E41" s="27"/>
      <c r="F41" s="27"/>
      <c r="G41" s="27"/>
      <c r="H41" s="27"/>
      <c r="I41" s="27"/>
      <c r="J41" s="27"/>
      <c r="K41" s="27"/>
      <c r="L41" s="27"/>
      <c r="M41" s="27"/>
      <c r="N41" s="27"/>
      <c r="O41" s="27"/>
      <c r="P41" s="27"/>
      <c r="Q41" s="27"/>
      <c r="R41" s="27"/>
      <c r="S41" s="27"/>
      <c r="T41" s="27" t="s">
        <v>375</v>
      </c>
      <c r="U41" s="27">
        <v>179</v>
      </c>
      <c r="V41" s="29"/>
    </row>
    <row r="42" spans="1:22">
      <c r="A42" s="24" t="s">
        <v>362</v>
      </c>
      <c r="B42" s="25" t="s">
        <v>363</v>
      </c>
      <c r="C42" s="24" t="s">
        <v>364</v>
      </c>
      <c r="D42" s="24"/>
      <c r="E42" s="24"/>
      <c r="F42" s="24"/>
      <c r="G42" s="24"/>
      <c r="H42" s="24"/>
      <c r="I42" s="24"/>
      <c r="J42" s="24"/>
      <c r="K42" s="24"/>
      <c r="L42" s="24"/>
      <c r="M42" s="24"/>
      <c r="N42" s="24"/>
      <c r="O42" s="24" t="s">
        <v>376</v>
      </c>
      <c r="P42" s="24"/>
      <c r="Q42" s="24"/>
      <c r="R42" s="24">
        <v>833</v>
      </c>
      <c r="S42" s="24"/>
      <c r="T42" s="24"/>
      <c r="U42" s="24"/>
      <c r="V42" s="26"/>
    </row>
    <row r="43" spans="1:22">
      <c r="A43" s="27" t="s">
        <v>362</v>
      </c>
      <c r="B43" s="28" t="s">
        <v>363</v>
      </c>
      <c r="C43" s="27" t="s">
        <v>369</v>
      </c>
      <c r="D43" s="27" t="s">
        <v>377</v>
      </c>
      <c r="E43" s="27"/>
      <c r="F43" s="27"/>
      <c r="G43" s="27" t="s">
        <v>371</v>
      </c>
      <c r="H43" s="27"/>
      <c r="I43" s="27"/>
      <c r="J43" s="27">
        <v>8</v>
      </c>
      <c r="K43" s="27">
        <v>48</v>
      </c>
      <c r="L43" s="27"/>
      <c r="M43" s="27"/>
      <c r="N43" s="27"/>
      <c r="O43" s="27" t="s">
        <v>376</v>
      </c>
      <c r="P43" s="27"/>
      <c r="Q43" s="27"/>
      <c r="R43" s="27"/>
      <c r="S43" s="27"/>
      <c r="T43" s="27"/>
      <c r="U43" s="27"/>
      <c r="V43" s="29"/>
    </row>
    <row r="44" spans="1:22">
      <c r="A44" s="24" t="s">
        <v>362</v>
      </c>
      <c r="B44" s="25" t="s">
        <v>363</v>
      </c>
      <c r="C44" s="24" t="s">
        <v>369</v>
      </c>
      <c r="D44" s="24" t="s">
        <v>380</v>
      </c>
      <c r="E44" s="24"/>
      <c r="F44" s="24"/>
      <c r="G44" s="24"/>
      <c r="H44" s="24"/>
      <c r="I44" s="24"/>
      <c r="J44" s="24">
        <v>2</v>
      </c>
      <c r="K44" s="24">
        <v>60</v>
      </c>
      <c r="L44" s="24"/>
      <c r="M44" s="24"/>
      <c r="N44" s="24"/>
      <c r="O44" s="24" t="s">
        <v>376</v>
      </c>
      <c r="P44" s="24"/>
      <c r="Q44" s="24"/>
      <c r="R44" s="24"/>
      <c r="S44" s="24"/>
      <c r="T44" s="24"/>
      <c r="U44" s="24"/>
      <c r="V44" s="26"/>
    </row>
    <row r="45" spans="1:22">
      <c r="A45" s="27" t="s">
        <v>365</v>
      </c>
      <c r="B45" s="28" t="s">
        <v>363</v>
      </c>
      <c r="C45" s="27" t="s">
        <v>373</v>
      </c>
      <c r="D45" s="27"/>
      <c r="E45" s="27"/>
      <c r="F45" s="27"/>
      <c r="G45" s="27"/>
      <c r="H45" s="27"/>
      <c r="I45" s="27"/>
      <c r="J45" s="27"/>
      <c r="K45" s="27"/>
      <c r="L45" s="27"/>
      <c r="M45" s="27"/>
      <c r="N45" s="27"/>
      <c r="O45" s="27"/>
      <c r="P45" s="27"/>
      <c r="Q45" s="27"/>
      <c r="R45" s="27"/>
      <c r="S45" s="27"/>
      <c r="T45" s="27" t="s">
        <v>375</v>
      </c>
      <c r="U45" s="27">
        <v>240</v>
      </c>
      <c r="V45" s="29"/>
    </row>
    <row r="46" spans="1:22">
      <c r="A46" s="24" t="s">
        <v>365</v>
      </c>
      <c r="B46" s="25" t="s">
        <v>363</v>
      </c>
      <c r="C46" s="24" t="s">
        <v>364</v>
      </c>
      <c r="D46" s="24"/>
      <c r="E46" s="24"/>
      <c r="F46" s="24"/>
      <c r="G46" s="24"/>
      <c r="H46" s="24"/>
      <c r="I46" s="24"/>
      <c r="J46" s="24"/>
      <c r="K46" s="24"/>
      <c r="L46" s="24"/>
      <c r="M46" s="24"/>
      <c r="N46" s="24"/>
      <c r="O46" s="24" t="s">
        <v>376</v>
      </c>
      <c r="P46" s="24"/>
      <c r="Q46" s="24"/>
      <c r="R46" s="24">
        <v>1320</v>
      </c>
      <c r="S46" s="24"/>
      <c r="T46" s="24"/>
      <c r="U46" s="24"/>
      <c r="V46" s="26"/>
    </row>
    <row r="47" spans="1:22">
      <c r="A47" s="27" t="s">
        <v>365</v>
      </c>
      <c r="B47" s="28" t="s">
        <v>363</v>
      </c>
      <c r="C47" s="27" t="s">
        <v>369</v>
      </c>
      <c r="D47" s="27" t="s">
        <v>377</v>
      </c>
      <c r="E47" s="27"/>
      <c r="F47" s="27"/>
      <c r="G47" s="27" t="s">
        <v>371</v>
      </c>
      <c r="H47" s="27"/>
      <c r="I47" s="27"/>
      <c r="J47" s="27">
        <v>9</v>
      </c>
      <c r="K47" s="27">
        <v>34</v>
      </c>
      <c r="L47" s="27"/>
      <c r="M47" s="27"/>
      <c r="N47" s="27"/>
      <c r="O47" s="27" t="s">
        <v>376</v>
      </c>
      <c r="P47" s="27"/>
      <c r="Q47" s="27"/>
      <c r="R47" s="27"/>
      <c r="S47" s="27"/>
      <c r="T47" s="27"/>
      <c r="U47" s="27"/>
      <c r="V47" s="29"/>
    </row>
    <row r="48" spans="1:22">
      <c r="A48" s="24" t="s">
        <v>365</v>
      </c>
      <c r="B48" s="25" t="s">
        <v>363</v>
      </c>
      <c r="C48" s="24" t="s">
        <v>369</v>
      </c>
      <c r="D48" s="24" t="s">
        <v>380</v>
      </c>
      <c r="E48" s="24"/>
      <c r="F48" s="24"/>
      <c r="G48" s="24"/>
      <c r="H48" s="24"/>
      <c r="I48" s="24"/>
      <c r="J48" s="24">
        <v>4</v>
      </c>
      <c r="K48" s="24">
        <v>40</v>
      </c>
      <c r="L48" s="24"/>
      <c r="M48" s="24"/>
      <c r="N48" s="24"/>
      <c r="O48" s="24" t="s">
        <v>376</v>
      </c>
      <c r="P48" s="24"/>
      <c r="Q48" s="24"/>
      <c r="R48" s="24"/>
      <c r="S48" s="24"/>
      <c r="T48" s="24"/>
      <c r="U48" s="24"/>
      <c r="V48" s="26"/>
    </row>
    <row r="49" spans="1:22">
      <c r="A49" s="27" t="s">
        <v>368</v>
      </c>
      <c r="B49" s="28" t="s">
        <v>363</v>
      </c>
      <c r="C49" s="27" t="s">
        <v>373</v>
      </c>
      <c r="D49" s="27"/>
      <c r="E49" s="27"/>
      <c r="F49" s="27"/>
      <c r="G49" s="27"/>
      <c r="H49" s="27"/>
      <c r="I49" s="27"/>
      <c r="J49" s="27"/>
      <c r="K49" s="27"/>
      <c r="L49" s="27"/>
      <c r="M49" s="27"/>
      <c r="N49" s="27"/>
      <c r="O49" s="27"/>
      <c r="P49" s="27"/>
      <c r="Q49" s="27"/>
      <c r="R49" s="27"/>
      <c r="S49" s="27"/>
      <c r="T49" s="27" t="s">
        <v>375</v>
      </c>
      <c r="U49" s="27">
        <v>177</v>
      </c>
      <c r="V49" s="29"/>
    </row>
    <row r="50" spans="1:22">
      <c r="A50" s="24" t="s">
        <v>368</v>
      </c>
      <c r="B50" s="25" t="s">
        <v>363</v>
      </c>
      <c r="C50" s="24" t="s">
        <v>364</v>
      </c>
      <c r="D50" s="24"/>
      <c r="E50" s="24"/>
      <c r="F50" s="24"/>
      <c r="G50" s="24"/>
      <c r="H50" s="24"/>
      <c r="I50" s="24"/>
      <c r="J50" s="24"/>
      <c r="K50" s="24"/>
      <c r="L50" s="24"/>
      <c r="M50" s="24"/>
      <c r="N50" s="24"/>
      <c r="O50" s="24" t="s">
        <v>376</v>
      </c>
      <c r="P50" s="24"/>
      <c r="Q50" s="24"/>
      <c r="R50" s="24">
        <v>895</v>
      </c>
      <c r="S50" s="24"/>
      <c r="T50" s="24"/>
      <c r="U50" s="24"/>
      <c r="V50" s="26"/>
    </row>
    <row r="51" spans="1:22">
      <c r="A51" s="27" t="s">
        <v>368</v>
      </c>
      <c r="B51" s="28" t="s">
        <v>363</v>
      </c>
      <c r="C51" s="27" t="s">
        <v>369</v>
      </c>
      <c r="D51" s="27" t="s">
        <v>377</v>
      </c>
      <c r="E51" s="27"/>
      <c r="F51" s="27"/>
      <c r="G51" s="27" t="s">
        <v>371</v>
      </c>
      <c r="H51" s="27"/>
      <c r="I51" s="27"/>
      <c r="J51" s="27">
        <v>7</v>
      </c>
      <c r="K51" s="27">
        <v>38</v>
      </c>
      <c r="L51" s="27"/>
      <c r="M51" s="27"/>
      <c r="N51" s="27"/>
      <c r="O51" s="27" t="s">
        <v>376</v>
      </c>
      <c r="P51" s="27"/>
      <c r="Q51" s="27"/>
      <c r="R51" s="27"/>
      <c r="S51" s="27"/>
      <c r="T51" s="27"/>
      <c r="U51" s="27"/>
      <c r="V51" s="29"/>
    </row>
    <row r="52" spans="1:22">
      <c r="A52" s="24" t="s">
        <v>368</v>
      </c>
      <c r="B52" s="25" t="s">
        <v>363</v>
      </c>
      <c r="C52" s="24" t="s">
        <v>369</v>
      </c>
      <c r="D52" s="24" t="s">
        <v>380</v>
      </c>
      <c r="E52" s="24"/>
      <c r="F52" s="24"/>
      <c r="G52" s="24"/>
      <c r="H52" s="24"/>
      <c r="I52" s="24"/>
      <c r="J52" s="24">
        <v>1</v>
      </c>
      <c r="K52" s="24">
        <v>8</v>
      </c>
      <c r="L52" s="24"/>
      <c r="M52" s="24"/>
      <c r="N52" s="24"/>
      <c r="O52" s="24" t="s">
        <v>376</v>
      </c>
      <c r="P52" s="24"/>
      <c r="Q52" s="24"/>
      <c r="R52" s="24"/>
      <c r="S52" s="24"/>
      <c r="T52" s="24"/>
      <c r="U52" s="24"/>
      <c r="V52" s="26"/>
    </row>
    <row r="53" spans="1:22">
      <c r="A53" s="27" t="s">
        <v>368</v>
      </c>
      <c r="B53" s="28" t="s">
        <v>363</v>
      </c>
      <c r="C53" s="27" t="s">
        <v>369</v>
      </c>
      <c r="D53" s="27" t="s">
        <v>378</v>
      </c>
      <c r="E53" s="27" t="s">
        <v>379</v>
      </c>
      <c r="F53" s="27"/>
      <c r="G53" s="27"/>
      <c r="H53" s="27"/>
      <c r="I53" s="27"/>
      <c r="J53" s="27">
        <v>1</v>
      </c>
      <c r="K53" s="27">
        <v>30</v>
      </c>
      <c r="L53" s="27"/>
      <c r="M53" s="27"/>
      <c r="N53" s="27"/>
      <c r="O53" s="27" t="s">
        <v>376</v>
      </c>
      <c r="P53" s="27"/>
      <c r="Q53" s="27"/>
      <c r="R53" s="27"/>
      <c r="S53" s="27"/>
      <c r="T53" s="27"/>
      <c r="U53" s="27"/>
      <c r="V53" s="29"/>
    </row>
    <row r="54" spans="1:22">
      <c r="A54" s="24" t="s">
        <v>381</v>
      </c>
      <c r="B54" s="25" t="s">
        <v>363</v>
      </c>
      <c r="C54" s="24" t="s">
        <v>373</v>
      </c>
      <c r="D54" s="24"/>
      <c r="E54" s="24"/>
      <c r="F54" s="24"/>
      <c r="G54" s="24"/>
      <c r="H54" s="24"/>
      <c r="I54" s="24"/>
      <c r="J54" s="24"/>
      <c r="K54" s="24"/>
      <c r="L54" s="24"/>
      <c r="M54" s="24"/>
      <c r="N54" s="24"/>
      <c r="O54" s="24"/>
      <c r="P54" s="24"/>
      <c r="Q54" s="24"/>
      <c r="R54" s="24"/>
      <c r="S54" s="24"/>
      <c r="T54" s="24" t="s">
        <v>375</v>
      </c>
      <c r="U54" s="24">
        <v>86</v>
      </c>
      <c r="V54" s="26"/>
    </row>
    <row r="55" spans="1:22">
      <c r="A55" s="27" t="s">
        <v>381</v>
      </c>
      <c r="B55" s="28" t="s">
        <v>363</v>
      </c>
      <c r="C55" s="27" t="s">
        <v>364</v>
      </c>
      <c r="D55" s="27"/>
      <c r="E55" s="27"/>
      <c r="F55" s="27"/>
      <c r="G55" s="27"/>
      <c r="H55" s="27"/>
      <c r="I55" s="27"/>
      <c r="J55" s="27"/>
      <c r="K55" s="27"/>
      <c r="L55" s="27"/>
      <c r="M55" s="27"/>
      <c r="N55" s="27"/>
      <c r="O55" s="27" t="s">
        <v>376</v>
      </c>
      <c r="P55" s="27"/>
      <c r="Q55" s="27"/>
      <c r="R55" s="27">
        <v>533</v>
      </c>
      <c r="S55" s="27"/>
      <c r="T55" s="27"/>
      <c r="U55" s="27"/>
      <c r="V55" s="29"/>
    </row>
    <row r="56" spans="1:22">
      <c r="A56" s="24" t="s">
        <v>383</v>
      </c>
      <c r="B56" s="25" t="s">
        <v>363</v>
      </c>
      <c r="C56" s="24" t="s">
        <v>373</v>
      </c>
      <c r="D56" s="24"/>
      <c r="E56" s="24"/>
      <c r="F56" s="24"/>
      <c r="G56" s="24"/>
      <c r="H56" s="24"/>
      <c r="I56" s="24"/>
      <c r="J56" s="24"/>
      <c r="K56" s="24"/>
      <c r="L56" s="24"/>
      <c r="M56" s="24"/>
      <c r="N56" s="24"/>
      <c r="O56" s="24"/>
      <c r="P56" s="24"/>
      <c r="Q56" s="24"/>
      <c r="R56" s="24"/>
      <c r="S56" s="24"/>
      <c r="T56" s="24"/>
      <c r="U56" s="24"/>
      <c r="V56" s="26"/>
    </row>
    <row r="57" spans="1:22">
      <c r="A57" s="27" t="s">
        <v>381</v>
      </c>
      <c r="B57" s="28" t="s">
        <v>363</v>
      </c>
      <c r="C57" s="27" t="s">
        <v>364</v>
      </c>
      <c r="D57" s="27"/>
      <c r="E57" s="27"/>
      <c r="F57" s="27"/>
      <c r="G57" s="27"/>
      <c r="H57" s="27"/>
      <c r="I57" s="27"/>
      <c r="J57" s="27"/>
      <c r="K57" s="27"/>
      <c r="L57" s="27"/>
      <c r="M57" s="27"/>
      <c r="N57" s="27"/>
      <c r="O57" s="27" t="s">
        <v>367</v>
      </c>
      <c r="P57" s="27"/>
      <c r="Q57" s="27"/>
      <c r="R57" s="27">
        <v>9</v>
      </c>
      <c r="S57" s="27">
        <v>51</v>
      </c>
      <c r="T57" s="27"/>
      <c r="U57" s="27"/>
      <c r="V57" s="29"/>
    </row>
    <row r="58" spans="1:22">
      <c r="A58" s="24" t="s">
        <v>381</v>
      </c>
      <c r="B58" s="25" t="s">
        <v>363</v>
      </c>
      <c r="C58" s="24" t="s">
        <v>369</v>
      </c>
      <c r="D58" s="24" t="s">
        <v>370</v>
      </c>
      <c r="E58" s="24"/>
      <c r="F58" s="24" t="s">
        <v>384</v>
      </c>
      <c r="G58" s="24"/>
      <c r="H58" s="24"/>
      <c r="I58" s="24"/>
      <c r="J58" s="24">
        <v>0</v>
      </c>
      <c r="K58" s="24">
        <v>0</v>
      </c>
      <c r="L58" s="24">
        <v>0</v>
      </c>
      <c r="M58" s="24">
        <v>0</v>
      </c>
      <c r="N58" s="24">
        <v>1</v>
      </c>
      <c r="O58" s="24"/>
      <c r="P58" s="24">
        <v>80</v>
      </c>
      <c r="Q58" s="24"/>
      <c r="R58" s="24"/>
      <c r="S58" s="24"/>
      <c r="T58" s="24"/>
      <c r="U58" s="24"/>
      <c r="V58" s="26"/>
    </row>
    <row r="59" spans="1:22">
      <c r="A59" s="30" t="s">
        <v>381</v>
      </c>
      <c r="B59" s="31" t="s">
        <v>363</v>
      </c>
      <c r="C59" s="30" t="s">
        <v>369</v>
      </c>
      <c r="D59" s="30" t="s">
        <v>380</v>
      </c>
      <c r="E59" s="30"/>
      <c r="F59" s="30"/>
      <c r="G59" s="30"/>
      <c r="H59" s="27"/>
      <c r="I59" s="27"/>
      <c r="J59" s="27">
        <v>13</v>
      </c>
      <c r="K59" s="27">
        <v>239</v>
      </c>
      <c r="L59" s="27">
        <v>0</v>
      </c>
      <c r="M59" s="27">
        <v>0</v>
      </c>
      <c r="N59" s="27">
        <v>1</v>
      </c>
      <c r="O59" s="30"/>
      <c r="P59" s="27">
        <v>10</v>
      </c>
      <c r="Q59" s="27"/>
      <c r="R59" s="27"/>
      <c r="S59" s="27"/>
      <c r="T59" s="30"/>
      <c r="U59" s="27"/>
      <c r="V59" s="29"/>
    </row>
    <row r="60" spans="1:22">
      <c r="A60" s="32" t="s">
        <v>362</v>
      </c>
      <c r="B60" s="33" t="s">
        <v>363</v>
      </c>
      <c r="C60" s="32" t="s">
        <v>364</v>
      </c>
      <c r="D60" s="32"/>
      <c r="E60" s="32"/>
      <c r="F60" s="32"/>
      <c r="G60" s="32"/>
      <c r="H60" s="24"/>
      <c r="I60" s="24"/>
      <c r="J60" s="24"/>
      <c r="K60" s="24"/>
      <c r="L60" s="24"/>
      <c r="M60" s="24"/>
      <c r="N60" s="24"/>
      <c r="O60" s="24" t="s">
        <v>385</v>
      </c>
      <c r="P60" s="24"/>
      <c r="Q60" s="24"/>
      <c r="R60" s="24">
        <v>0</v>
      </c>
      <c r="S60" s="24">
        <v>72</v>
      </c>
      <c r="T60" s="32"/>
      <c r="U60" s="24"/>
      <c r="V60" s="26"/>
    </row>
    <row r="61" spans="1:22">
      <c r="A61" s="30" t="s">
        <v>365</v>
      </c>
      <c r="B61" s="31" t="s">
        <v>363</v>
      </c>
      <c r="C61" s="30" t="s">
        <v>364</v>
      </c>
      <c r="D61" s="30"/>
      <c r="E61" s="30"/>
      <c r="F61" s="30"/>
      <c r="G61" s="30"/>
      <c r="H61" s="27"/>
      <c r="I61" s="27"/>
      <c r="J61" s="27"/>
      <c r="K61" s="27"/>
      <c r="L61" s="27"/>
      <c r="M61" s="27"/>
      <c r="N61" s="27"/>
      <c r="O61" s="27" t="s">
        <v>385</v>
      </c>
      <c r="P61" s="27"/>
      <c r="Q61" s="27"/>
      <c r="R61" s="27">
        <v>19</v>
      </c>
      <c r="S61" s="27">
        <v>111</v>
      </c>
      <c r="T61" s="30"/>
      <c r="U61" s="27"/>
      <c r="V61" s="29"/>
    </row>
    <row r="62" spans="1:22">
      <c r="A62" s="32" t="s">
        <v>368</v>
      </c>
      <c r="B62" s="33" t="s">
        <v>363</v>
      </c>
      <c r="C62" s="32" t="s">
        <v>364</v>
      </c>
      <c r="D62" s="32"/>
      <c r="E62" s="32"/>
      <c r="F62" s="32"/>
      <c r="G62" s="32"/>
      <c r="H62" s="24"/>
      <c r="I62" s="24"/>
      <c r="J62" s="24"/>
      <c r="K62" s="24"/>
      <c r="L62" s="24"/>
      <c r="M62" s="24"/>
      <c r="N62" s="24"/>
      <c r="O62" s="24" t="s">
        <v>385</v>
      </c>
      <c r="P62" s="24"/>
      <c r="Q62" s="24"/>
      <c r="R62" s="24">
        <v>72</v>
      </c>
      <c r="S62" s="24">
        <v>80</v>
      </c>
      <c r="T62" s="32"/>
      <c r="U62" s="24"/>
      <c r="V62" s="26"/>
    </row>
    <row r="63" spans="1:22">
      <c r="A63" s="30" t="s">
        <v>381</v>
      </c>
      <c r="B63" s="31" t="s">
        <v>363</v>
      </c>
      <c r="C63" s="30" t="s">
        <v>364</v>
      </c>
      <c r="D63" s="30"/>
      <c r="E63" s="30"/>
      <c r="F63" s="30"/>
      <c r="G63" s="30"/>
      <c r="H63" s="27"/>
      <c r="I63" s="27"/>
      <c r="J63" s="27"/>
      <c r="K63" s="27"/>
      <c r="L63" s="27"/>
      <c r="M63" s="27"/>
      <c r="N63" s="27"/>
      <c r="O63" s="27" t="s">
        <v>385</v>
      </c>
      <c r="P63" s="27"/>
      <c r="Q63" s="27"/>
      <c r="R63" s="27">
        <v>38</v>
      </c>
      <c r="S63" s="27">
        <v>31</v>
      </c>
      <c r="T63" s="30"/>
      <c r="U63" s="27"/>
      <c r="V63" s="29"/>
    </row>
    <row r="64" spans="1:22">
      <c r="A64" s="32" t="s">
        <v>362</v>
      </c>
      <c r="B64" s="33" t="s">
        <v>363</v>
      </c>
      <c r="C64" s="32" t="s">
        <v>369</v>
      </c>
      <c r="D64" s="32" t="s">
        <v>377</v>
      </c>
      <c r="E64" s="32"/>
      <c r="F64" s="32"/>
      <c r="G64" s="32" t="s">
        <v>386</v>
      </c>
      <c r="H64" s="24"/>
      <c r="I64" s="24"/>
      <c r="J64" s="24"/>
      <c r="K64" s="24"/>
      <c r="L64" s="24">
        <v>1</v>
      </c>
      <c r="M64" s="24">
        <v>20</v>
      </c>
      <c r="N64" s="24"/>
      <c r="O64" s="32"/>
      <c r="P64" s="24"/>
      <c r="Q64" s="24"/>
      <c r="R64" s="24"/>
      <c r="S64" s="24"/>
      <c r="T64" s="32"/>
      <c r="U64" s="24"/>
      <c r="V64" s="26"/>
    </row>
    <row r="65" spans="1:22">
      <c r="A65" s="30" t="s">
        <v>365</v>
      </c>
      <c r="B65" s="31" t="s">
        <v>363</v>
      </c>
      <c r="C65" s="30" t="s">
        <v>369</v>
      </c>
      <c r="D65" s="30" t="s">
        <v>377</v>
      </c>
      <c r="E65" s="30"/>
      <c r="F65" s="30"/>
      <c r="G65" s="30" t="s">
        <v>371</v>
      </c>
      <c r="H65" s="27"/>
      <c r="I65" s="27"/>
      <c r="J65" s="27">
        <v>1</v>
      </c>
      <c r="K65" s="27">
        <v>20</v>
      </c>
      <c r="L65" s="27"/>
      <c r="M65" s="27"/>
      <c r="N65" s="27"/>
      <c r="O65" s="30"/>
      <c r="P65" s="27"/>
      <c r="Q65" s="27"/>
      <c r="R65" s="27"/>
      <c r="S65" s="27"/>
      <c r="T65" s="30"/>
      <c r="U65" s="27"/>
      <c r="V65" s="29"/>
    </row>
    <row r="66" spans="1:22">
      <c r="A66" s="32" t="s">
        <v>365</v>
      </c>
      <c r="B66" s="33" t="s">
        <v>363</v>
      </c>
      <c r="C66" s="32" t="s">
        <v>369</v>
      </c>
      <c r="D66" s="32" t="s">
        <v>377</v>
      </c>
      <c r="E66" s="32"/>
      <c r="F66" s="32"/>
      <c r="G66" s="32" t="s">
        <v>386</v>
      </c>
      <c r="H66" s="24"/>
      <c r="I66" s="24"/>
      <c r="J66" s="24"/>
      <c r="K66" s="24"/>
      <c r="L66" s="24">
        <v>3</v>
      </c>
      <c r="M66" s="24">
        <v>60</v>
      </c>
      <c r="N66" s="24"/>
      <c r="O66" s="32"/>
      <c r="P66" s="24"/>
      <c r="Q66" s="24"/>
      <c r="R66" s="24"/>
      <c r="S66" s="24"/>
      <c r="T66" s="32"/>
      <c r="U66" s="24"/>
      <c r="V66" s="26"/>
    </row>
    <row r="67" spans="1:22">
      <c r="A67" s="30" t="s">
        <v>368</v>
      </c>
      <c r="B67" s="31" t="s">
        <v>363</v>
      </c>
      <c r="C67" s="30" t="s">
        <v>369</v>
      </c>
      <c r="D67" s="30" t="s">
        <v>377</v>
      </c>
      <c r="E67" s="30"/>
      <c r="F67" s="30"/>
      <c r="G67" s="30" t="s">
        <v>371</v>
      </c>
      <c r="H67" s="27"/>
      <c r="I67" s="27"/>
      <c r="J67" s="27">
        <v>1</v>
      </c>
      <c r="K67" s="27">
        <v>20</v>
      </c>
      <c r="L67" s="27"/>
      <c r="M67" s="27"/>
      <c r="N67" s="27"/>
      <c r="O67" s="30"/>
      <c r="P67" s="27"/>
      <c r="Q67" s="27"/>
      <c r="R67" s="27"/>
      <c r="S67" s="27"/>
      <c r="T67" s="30"/>
      <c r="U67" s="27"/>
      <c r="V67" s="29"/>
    </row>
    <row r="68" spans="1:22">
      <c r="A68" s="32" t="s">
        <v>368</v>
      </c>
      <c r="B68" s="33" t="s">
        <v>363</v>
      </c>
      <c r="C68" s="32" t="s">
        <v>369</v>
      </c>
      <c r="D68" s="32" t="s">
        <v>377</v>
      </c>
      <c r="E68" s="32"/>
      <c r="F68" s="32"/>
      <c r="G68" s="32" t="s">
        <v>386</v>
      </c>
      <c r="H68" s="24"/>
      <c r="I68" s="24"/>
      <c r="J68" s="24"/>
      <c r="K68" s="24"/>
      <c r="L68" s="24">
        <v>1</v>
      </c>
      <c r="M68" s="24">
        <v>20</v>
      </c>
      <c r="N68" s="24"/>
      <c r="O68" s="32"/>
      <c r="P68" s="24"/>
      <c r="Q68" s="24"/>
      <c r="R68" s="24"/>
      <c r="S68" s="24"/>
      <c r="T68" s="32"/>
      <c r="U68" s="24"/>
      <c r="V68" s="26"/>
    </row>
    <row r="69" spans="1:22">
      <c r="A69" s="30" t="s">
        <v>362</v>
      </c>
      <c r="B69" s="31" t="s">
        <v>363</v>
      </c>
      <c r="C69" s="30" t="s">
        <v>369</v>
      </c>
      <c r="D69" s="30" t="s">
        <v>380</v>
      </c>
      <c r="E69" s="30"/>
      <c r="F69" s="30"/>
      <c r="G69" s="30"/>
      <c r="H69" s="27"/>
      <c r="I69" s="27"/>
      <c r="J69" s="27">
        <v>27</v>
      </c>
      <c r="K69" s="27">
        <v>678</v>
      </c>
      <c r="L69" s="27"/>
      <c r="M69" s="27"/>
      <c r="N69" s="27"/>
      <c r="O69" s="30"/>
      <c r="P69" s="27"/>
      <c r="Q69" s="27"/>
      <c r="R69" s="27"/>
      <c r="S69" s="27"/>
      <c r="T69" s="30"/>
      <c r="U69" s="27"/>
      <c r="V69" s="29"/>
    </row>
    <row r="70" spans="1:22">
      <c r="A70" s="32" t="s">
        <v>365</v>
      </c>
      <c r="B70" s="33" t="s">
        <v>363</v>
      </c>
      <c r="C70" s="32" t="s">
        <v>369</v>
      </c>
      <c r="D70" s="32" t="s">
        <v>380</v>
      </c>
      <c r="E70" s="32"/>
      <c r="F70" s="32"/>
      <c r="G70" s="32"/>
      <c r="H70" s="24"/>
      <c r="I70" s="24"/>
      <c r="J70" s="24">
        <v>21</v>
      </c>
      <c r="K70" s="24">
        <v>576</v>
      </c>
      <c r="L70" s="24"/>
      <c r="M70" s="24"/>
      <c r="N70" s="24"/>
      <c r="O70" s="32"/>
      <c r="P70" s="24"/>
      <c r="Q70" s="24"/>
      <c r="R70" s="24"/>
      <c r="S70" s="24"/>
      <c r="T70" s="32"/>
      <c r="U70" s="24"/>
      <c r="V70" s="26"/>
    </row>
    <row r="71" spans="1:22">
      <c r="A71" s="30" t="s">
        <v>368</v>
      </c>
      <c r="B71" s="31" t="s">
        <v>363</v>
      </c>
      <c r="C71" s="30" t="s">
        <v>369</v>
      </c>
      <c r="D71" s="30" t="s">
        <v>380</v>
      </c>
      <c r="E71" s="30"/>
      <c r="F71" s="30"/>
      <c r="G71" s="30"/>
      <c r="H71" s="27"/>
      <c r="I71" s="27"/>
      <c r="J71" s="27">
        <v>34</v>
      </c>
      <c r="K71" s="27">
        <v>879</v>
      </c>
      <c r="L71" s="27"/>
      <c r="M71" s="27"/>
      <c r="N71" s="27"/>
      <c r="O71" s="30"/>
      <c r="P71" s="27"/>
      <c r="Q71" s="27"/>
      <c r="R71" s="27"/>
      <c r="S71" s="27"/>
      <c r="T71" s="30"/>
      <c r="U71" s="27"/>
      <c r="V71" s="29"/>
    </row>
    <row r="72" spans="1:22">
      <c r="A72" s="32" t="s">
        <v>381</v>
      </c>
      <c r="B72" s="33" t="s">
        <v>363</v>
      </c>
      <c r="C72" s="32" t="s">
        <v>369</v>
      </c>
      <c r="D72" s="32" t="s">
        <v>380</v>
      </c>
      <c r="E72" s="32"/>
      <c r="F72" s="32"/>
      <c r="G72" s="32"/>
      <c r="H72" s="24"/>
      <c r="I72" s="24"/>
      <c r="J72" s="24">
        <v>7</v>
      </c>
      <c r="K72" s="24">
        <v>137</v>
      </c>
      <c r="L72" s="24"/>
      <c r="M72" s="24"/>
      <c r="N72" s="24"/>
      <c r="O72" s="32"/>
      <c r="P72" s="24"/>
      <c r="Q72" s="24"/>
      <c r="R72" s="24"/>
      <c r="S72" s="24"/>
      <c r="T72" s="32"/>
      <c r="U72" s="24"/>
      <c r="V72" s="26"/>
    </row>
    <row r="73" spans="1:22">
      <c r="A73" s="30" t="s">
        <v>365</v>
      </c>
      <c r="B73" s="31" t="s">
        <v>363</v>
      </c>
      <c r="C73" s="30" t="s">
        <v>369</v>
      </c>
      <c r="D73" s="30" t="s">
        <v>387</v>
      </c>
      <c r="E73" s="30"/>
      <c r="F73" s="30"/>
      <c r="G73" s="30"/>
      <c r="H73" s="27"/>
      <c r="I73" s="27"/>
      <c r="J73" s="27">
        <v>1</v>
      </c>
      <c r="K73" s="27">
        <v>50</v>
      </c>
      <c r="L73" s="27"/>
      <c r="M73" s="27"/>
      <c r="N73" s="27"/>
      <c r="O73" s="30"/>
      <c r="P73" s="27"/>
      <c r="Q73" s="27"/>
      <c r="R73" s="27"/>
      <c r="S73" s="27"/>
      <c r="T73" s="30"/>
      <c r="U73" s="27"/>
      <c r="V73" s="29"/>
    </row>
    <row r="74" spans="1:22">
      <c r="A74" s="32" t="s">
        <v>368</v>
      </c>
      <c r="B74" s="33" t="s">
        <v>363</v>
      </c>
      <c r="C74" s="32" t="s">
        <v>369</v>
      </c>
      <c r="D74" s="32" t="s">
        <v>380</v>
      </c>
      <c r="E74" s="32"/>
      <c r="F74" s="32"/>
      <c r="G74" s="32"/>
      <c r="H74" s="24"/>
      <c r="I74" s="24"/>
      <c r="J74" s="24">
        <v>1</v>
      </c>
      <c r="K74" s="24">
        <v>93</v>
      </c>
      <c r="L74" s="24"/>
      <c r="M74" s="24"/>
      <c r="N74" s="24"/>
      <c r="O74" s="32"/>
      <c r="P74" s="24"/>
      <c r="Q74" s="24"/>
      <c r="R74" s="24"/>
      <c r="S74" s="24"/>
      <c r="T74" s="32"/>
      <c r="U74" s="24"/>
      <c r="V74" s="26"/>
    </row>
    <row r="75" spans="1:22">
      <c r="A75" s="30" t="s">
        <v>362</v>
      </c>
      <c r="B75" s="31" t="s">
        <v>363</v>
      </c>
      <c r="C75" s="30" t="s">
        <v>369</v>
      </c>
      <c r="D75" s="30" t="s">
        <v>378</v>
      </c>
      <c r="E75" s="30" t="s">
        <v>388</v>
      </c>
      <c r="F75" s="30"/>
      <c r="G75" s="30"/>
      <c r="H75" s="27"/>
      <c r="I75" s="27"/>
      <c r="J75" s="27">
        <v>2</v>
      </c>
      <c r="K75" s="27">
        <v>11</v>
      </c>
      <c r="L75" s="27"/>
      <c r="M75" s="27"/>
      <c r="N75" s="27"/>
      <c r="O75" s="30"/>
      <c r="P75" s="27"/>
      <c r="Q75" s="27"/>
      <c r="R75" s="27"/>
      <c r="S75" s="27"/>
      <c r="T75" s="30"/>
      <c r="U75" s="27"/>
      <c r="V75" s="29"/>
    </row>
    <row r="76" spans="1:22">
      <c r="A76" s="32" t="s">
        <v>362</v>
      </c>
      <c r="B76" s="33" t="s">
        <v>363</v>
      </c>
      <c r="C76" s="32" t="s">
        <v>369</v>
      </c>
      <c r="D76" s="32" t="s">
        <v>378</v>
      </c>
      <c r="E76" s="32" t="s">
        <v>379</v>
      </c>
      <c r="F76" s="32"/>
      <c r="G76" s="32"/>
      <c r="H76" s="24"/>
      <c r="I76" s="24"/>
      <c r="J76" s="24">
        <v>77</v>
      </c>
      <c r="K76" s="24"/>
      <c r="L76" s="24"/>
      <c r="M76" s="24"/>
      <c r="N76" s="24"/>
      <c r="O76" s="32"/>
      <c r="P76" s="24"/>
      <c r="Q76" s="24"/>
      <c r="R76" s="24"/>
      <c r="S76" s="24"/>
      <c r="T76" s="32"/>
      <c r="U76" s="24"/>
      <c r="V76" s="26"/>
    </row>
    <row r="77" spans="1:22">
      <c r="A77" s="30" t="s">
        <v>365</v>
      </c>
      <c r="B77" s="31" t="s">
        <v>363</v>
      </c>
      <c r="C77" s="30" t="s">
        <v>369</v>
      </c>
      <c r="D77" s="30" t="s">
        <v>378</v>
      </c>
      <c r="E77" s="30" t="s">
        <v>388</v>
      </c>
      <c r="F77" s="30"/>
      <c r="G77" s="30"/>
      <c r="H77" s="27"/>
      <c r="I77" s="27"/>
      <c r="J77" s="27">
        <v>2</v>
      </c>
      <c r="K77" s="27">
        <v>352</v>
      </c>
      <c r="L77" s="27"/>
      <c r="M77" s="27"/>
      <c r="N77" s="27"/>
      <c r="O77" s="30"/>
      <c r="P77" s="27"/>
      <c r="Q77" s="27"/>
      <c r="R77" s="27"/>
      <c r="S77" s="27"/>
      <c r="T77" s="30"/>
      <c r="U77" s="27"/>
      <c r="V77" s="29"/>
    </row>
    <row r="78" spans="1:22">
      <c r="A78" s="32" t="s">
        <v>365</v>
      </c>
      <c r="B78" s="33" t="s">
        <v>363</v>
      </c>
      <c r="C78" s="32" t="s">
        <v>369</v>
      </c>
      <c r="D78" s="32" t="s">
        <v>378</v>
      </c>
      <c r="E78" s="32" t="s">
        <v>379</v>
      </c>
      <c r="F78" s="32"/>
      <c r="G78" s="32"/>
      <c r="H78" s="24"/>
      <c r="I78" s="24"/>
      <c r="J78" s="24">
        <v>352</v>
      </c>
      <c r="K78" s="24"/>
      <c r="L78" s="24"/>
      <c r="M78" s="24"/>
      <c r="N78" s="24"/>
      <c r="O78" s="32"/>
      <c r="P78" s="24"/>
      <c r="Q78" s="24"/>
      <c r="R78" s="24"/>
      <c r="S78" s="24"/>
      <c r="T78" s="32"/>
      <c r="U78" s="24"/>
      <c r="V78" s="26"/>
    </row>
    <row r="79" spans="1:22">
      <c r="A79" s="30" t="s">
        <v>368</v>
      </c>
      <c r="B79" s="31" t="s">
        <v>363</v>
      </c>
      <c r="C79" s="30" t="s">
        <v>369</v>
      </c>
      <c r="D79" s="30" t="s">
        <v>378</v>
      </c>
      <c r="E79" s="30" t="s">
        <v>388</v>
      </c>
      <c r="F79" s="30"/>
      <c r="G79" s="30"/>
      <c r="H79" s="27"/>
      <c r="I79" s="27"/>
      <c r="J79" s="27">
        <v>1</v>
      </c>
      <c r="K79" s="27">
        <v>609</v>
      </c>
      <c r="L79" s="27"/>
      <c r="M79" s="27"/>
      <c r="N79" s="27"/>
      <c r="O79" s="30"/>
      <c r="P79" s="27"/>
      <c r="Q79" s="27"/>
      <c r="R79" s="27"/>
      <c r="S79" s="27"/>
      <c r="T79" s="30"/>
      <c r="U79" s="27"/>
      <c r="V79" s="29"/>
    </row>
    <row r="80" spans="1:22">
      <c r="A80" s="32" t="s">
        <v>368</v>
      </c>
      <c r="B80" s="33" t="s">
        <v>363</v>
      </c>
      <c r="C80" s="32" t="s">
        <v>369</v>
      </c>
      <c r="D80" s="32" t="s">
        <v>378</v>
      </c>
      <c r="E80" s="32" t="s">
        <v>379</v>
      </c>
      <c r="F80" s="32"/>
      <c r="G80" s="32"/>
      <c r="H80" s="24"/>
      <c r="I80" s="24"/>
      <c r="J80" s="24">
        <v>82</v>
      </c>
      <c r="K80" s="24"/>
      <c r="L80" s="24"/>
      <c r="M80" s="24"/>
      <c r="N80" s="24"/>
      <c r="O80" s="32"/>
      <c r="P80" s="24"/>
      <c r="Q80" s="24"/>
      <c r="R80" s="24"/>
      <c r="S80" s="24"/>
      <c r="T80" s="32"/>
      <c r="U80" s="24"/>
      <c r="V80" s="26"/>
    </row>
    <row r="81" spans="1:22">
      <c r="A81" s="30" t="s">
        <v>381</v>
      </c>
      <c r="B81" s="31" t="s">
        <v>363</v>
      </c>
      <c r="C81" s="30" t="s">
        <v>369</v>
      </c>
      <c r="D81" s="30" t="s">
        <v>378</v>
      </c>
      <c r="E81" s="30" t="s">
        <v>379</v>
      </c>
      <c r="F81" s="30"/>
      <c r="G81" s="30"/>
      <c r="H81" s="27"/>
      <c r="I81" s="27"/>
      <c r="J81" s="27">
        <v>33</v>
      </c>
      <c r="K81" s="27"/>
      <c r="L81" s="27"/>
      <c r="M81" s="27"/>
      <c r="N81" s="27"/>
      <c r="O81" s="30"/>
      <c r="P81" s="27"/>
      <c r="Q81" s="27"/>
      <c r="R81" s="27"/>
      <c r="S81" s="27"/>
      <c r="T81" s="30"/>
      <c r="U81" s="27"/>
      <c r="V81" s="29"/>
    </row>
    <row r="82" spans="1:22">
      <c r="A82" s="32" t="s">
        <v>362</v>
      </c>
      <c r="B82" s="33" t="s">
        <v>363</v>
      </c>
      <c r="C82" s="32" t="s">
        <v>369</v>
      </c>
      <c r="D82" s="32" t="s">
        <v>370</v>
      </c>
      <c r="E82" s="32"/>
      <c r="F82" s="32" t="s">
        <v>371</v>
      </c>
      <c r="G82" s="32"/>
      <c r="H82" s="24"/>
      <c r="I82" s="24"/>
      <c r="J82" s="24">
        <v>14</v>
      </c>
      <c r="K82" s="24">
        <v>441</v>
      </c>
      <c r="L82" s="24"/>
      <c r="M82" s="24"/>
      <c r="N82" s="24"/>
      <c r="O82" s="32"/>
      <c r="P82" s="24"/>
      <c r="Q82" s="24"/>
      <c r="R82" s="24"/>
      <c r="S82" s="24"/>
      <c r="T82" s="32"/>
      <c r="U82" s="24"/>
      <c r="V82" s="26"/>
    </row>
    <row r="83" spans="1:22">
      <c r="A83" s="30" t="s">
        <v>362</v>
      </c>
      <c r="B83" s="31" t="s">
        <v>363</v>
      </c>
      <c r="C83" s="30" t="s">
        <v>369</v>
      </c>
      <c r="D83" s="30" t="s">
        <v>370</v>
      </c>
      <c r="E83" s="30"/>
      <c r="F83" s="30" t="s">
        <v>386</v>
      </c>
      <c r="G83" s="30"/>
      <c r="H83" s="27"/>
      <c r="I83" s="27"/>
      <c r="J83" s="27">
        <v>4</v>
      </c>
      <c r="K83" s="27">
        <v>84</v>
      </c>
      <c r="L83" s="27"/>
      <c r="M83" s="27"/>
      <c r="N83" s="27"/>
      <c r="O83" s="30"/>
      <c r="P83" s="27"/>
      <c r="Q83" s="27"/>
      <c r="R83" s="27"/>
      <c r="S83" s="27"/>
      <c r="T83" s="30"/>
      <c r="U83" s="27"/>
      <c r="V83" s="29"/>
    </row>
    <row r="84" spans="1:22">
      <c r="A84" s="32" t="s">
        <v>362</v>
      </c>
      <c r="B84" s="33" t="s">
        <v>363</v>
      </c>
      <c r="C84" s="32" t="s">
        <v>369</v>
      </c>
      <c r="D84" s="32" t="s">
        <v>370</v>
      </c>
      <c r="E84" s="32"/>
      <c r="F84" s="32" t="s">
        <v>389</v>
      </c>
      <c r="G84" s="32"/>
      <c r="H84" s="24"/>
      <c r="I84" s="24"/>
      <c r="J84" s="24">
        <v>1</v>
      </c>
      <c r="K84" s="24">
        <v>22</v>
      </c>
      <c r="L84" s="24"/>
      <c r="M84" s="24"/>
      <c r="N84" s="24"/>
      <c r="O84" s="32"/>
      <c r="P84" s="24"/>
      <c r="Q84" s="24"/>
      <c r="R84" s="24"/>
      <c r="S84" s="24"/>
      <c r="T84" s="32"/>
      <c r="U84" s="24"/>
      <c r="V84" s="26"/>
    </row>
    <row r="85" spans="1:22">
      <c r="A85" s="30" t="s">
        <v>365</v>
      </c>
      <c r="B85" s="31" t="s">
        <v>363</v>
      </c>
      <c r="C85" s="30" t="s">
        <v>369</v>
      </c>
      <c r="D85" s="30" t="s">
        <v>370</v>
      </c>
      <c r="E85" s="30"/>
      <c r="F85" s="30" t="s">
        <v>371</v>
      </c>
      <c r="G85" s="30"/>
      <c r="H85" s="27"/>
      <c r="I85" s="27"/>
      <c r="J85" s="27">
        <v>5</v>
      </c>
      <c r="K85" s="27">
        <v>90</v>
      </c>
      <c r="L85" s="27"/>
      <c r="M85" s="27"/>
      <c r="N85" s="27"/>
      <c r="O85" s="30"/>
      <c r="P85" s="27"/>
      <c r="Q85" s="27"/>
      <c r="R85" s="27"/>
      <c r="S85" s="27"/>
      <c r="T85" s="30"/>
      <c r="U85" s="27"/>
      <c r="V85" s="29"/>
    </row>
    <row r="86" spans="1:22">
      <c r="A86" s="32" t="s">
        <v>365</v>
      </c>
      <c r="B86" s="33" t="s">
        <v>363</v>
      </c>
      <c r="C86" s="32" t="s">
        <v>369</v>
      </c>
      <c r="D86" s="32" t="s">
        <v>370</v>
      </c>
      <c r="E86" s="32"/>
      <c r="F86" s="32" t="s">
        <v>386</v>
      </c>
      <c r="G86" s="32"/>
      <c r="H86" s="24"/>
      <c r="I86" s="24"/>
      <c r="J86" s="24"/>
      <c r="K86" s="24"/>
      <c r="L86" s="24">
        <v>1</v>
      </c>
      <c r="M86" s="24">
        <v>15</v>
      </c>
      <c r="N86" s="24"/>
      <c r="O86" s="32"/>
      <c r="P86" s="24"/>
      <c r="Q86" s="24"/>
      <c r="R86" s="24"/>
      <c r="S86" s="24"/>
      <c r="T86" s="32"/>
      <c r="U86" s="24"/>
      <c r="V86" s="26"/>
    </row>
    <row r="87" spans="1:22">
      <c r="A87" s="30" t="s">
        <v>365</v>
      </c>
      <c r="B87" s="31" t="s">
        <v>363</v>
      </c>
      <c r="C87" s="30" t="s">
        <v>369</v>
      </c>
      <c r="D87" s="30" t="s">
        <v>370</v>
      </c>
      <c r="E87" s="30"/>
      <c r="F87" s="30" t="s">
        <v>389</v>
      </c>
      <c r="G87" s="30"/>
      <c r="H87" s="27"/>
      <c r="I87" s="27"/>
      <c r="J87" s="27"/>
      <c r="K87" s="27"/>
      <c r="L87" s="27"/>
      <c r="M87" s="27"/>
      <c r="N87" s="27">
        <v>1</v>
      </c>
      <c r="O87" s="30"/>
      <c r="P87" s="27">
        <v>28</v>
      </c>
      <c r="Q87" s="27"/>
      <c r="R87" s="27"/>
      <c r="S87" s="27"/>
      <c r="T87" s="30"/>
      <c r="U87" s="27"/>
      <c r="V87" s="29"/>
    </row>
    <row r="88" spans="1:22">
      <c r="A88" s="32" t="s">
        <v>368</v>
      </c>
      <c r="B88" s="33" t="s">
        <v>363</v>
      </c>
      <c r="C88" s="32" t="s">
        <v>369</v>
      </c>
      <c r="D88" s="32" t="s">
        <v>370</v>
      </c>
      <c r="E88" s="32"/>
      <c r="F88" s="32" t="s">
        <v>371</v>
      </c>
      <c r="G88" s="32"/>
      <c r="H88" s="24"/>
      <c r="I88" s="24"/>
      <c r="J88" s="24">
        <v>2</v>
      </c>
      <c r="K88" s="24">
        <v>72</v>
      </c>
      <c r="L88" s="24"/>
      <c r="M88" s="24"/>
      <c r="N88" s="24"/>
      <c r="O88" s="32"/>
      <c r="P88" s="24"/>
      <c r="Q88" s="24"/>
      <c r="R88" s="24"/>
      <c r="S88" s="24"/>
      <c r="T88" s="32"/>
      <c r="U88" s="24"/>
      <c r="V88" s="26"/>
    </row>
    <row r="89" spans="1:22">
      <c r="A89" s="30" t="s">
        <v>368</v>
      </c>
      <c r="B89" s="31" t="s">
        <v>363</v>
      </c>
      <c r="C89" s="30" t="s">
        <v>369</v>
      </c>
      <c r="D89" s="30" t="s">
        <v>370</v>
      </c>
      <c r="E89" s="30"/>
      <c r="F89" s="30" t="s">
        <v>386</v>
      </c>
      <c r="G89" s="30"/>
      <c r="H89" s="27"/>
      <c r="I89" s="27"/>
      <c r="J89" s="27"/>
      <c r="K89" s="27"/>
      <c r="L89" s="27">
        <v>1</v>
      </c>
      <c r="M89" s="27">
        <v>7</v>
      </c>
      <c r="N89" s="27"/>
      <c r="O89" s="30"/>
      <c r="P89" s="27"/>
      <c r="Q89" s="27"/>
      <c r="R89" s="27"/>
      <c r="S89" s="27"/>
      <c r="T89" s="30"/>
      <c r="U89" s="27"/>
      <c r="V89" s="29"/>
    </row>
    <row r="90" spans="1:22">
      <c r="A90" s="32" t="s">
        <v>362</v>
      </c>
      <c r="B90" s="33" t="s">
        <v>363</v>
      </c>
      <c r="C90" s="32" t="s">
        <v>373</v>
      </c>
      <c r="D90" s="32"/>
      <c r="E90" s="32"/>
      <c r="F90" s="32"/>
      <c r="G90" s="32"/>
      <c r="H90" s="24"/>
      <c r="I90" s="24"/>
      <c r="J90" s="24"/>
      <c r="K90" s="24"/>
      <c r="L90" s="24"/>
      <c r="M90" s="24"/>
      <c r="N90" s="24"/>
      <c r="O90" s="32"/>
      <c r="P90" s="24"/>
      <c r="Q90" s="24"/>
      <c r="R90" s="24"/>
      <c r="S90" s="24"/>
      <c r="T90" s="32" t="s">
        <v>375</v>
      </c>
      <c r="U90" s="24">
        <v>4</v>
      </c>
      <c r="V90" s="26"/>
    </row>
    <row r="91" spans="1:22">
      <c r="A91" s="30" t="s">
        <v>365</v>
      </c>
      <c r="B91" s="31" t="s">
        <v>363</v>
      </c>
      <c r="C91" s="30" t="s">
        <v>373</v>
      </c>
      <c r="D91" s="30"/>
      <c r="E91" s="30"/>
      <c r="F91" s="30"/>
      <c r="G91" s="30"/>
      <c r="H91" s="27"/>
      <c r="I91" s="27"/>
      <c r="J91" s="27"/>
      <c r="K91" s="27"/>
      <c r="L91" s="27"/>
      <c r="M91" s="27"/>
      <c r="N91" s="27"/>
      <c r="O91" s="30"/>
      <c r="P91" s="27"/>
      <c r="Q91" s="27"/>
      <c r="R91" s="27"/>
      <c r="S91" s="27"/>
      <c r="T91" s="30" t="s">
        <v>375</v>
      </c>
      <c r="U91" s="27">
        <v>7</v>
      </c>
      <c r="V91" s="29"/>
    </row>
    <row r="92" spans="1:22">
      <c r="A92" s="32" t="s">
        <v>368</v>
      </c>
      <c r="B92" s="33" t="s">
        <v>363</v>
      </c>
      <c r="C92" s="32" t="s">
        <v>373</v>
      </c>
      <c r="D92" s="32"/>
      <c r="E92" s="32"/>
      <c r="F92" s="32"/>
      <c r="G92" s="32"/>
      <c r="H92" s="24"/>
      <c r="I92" s="24"/>
      <c r="J92" s="24"/>
      <c r="K92" s="24"/>
      <c r="L92" s="24"/>
      <c r="M92" s="24"/>
      <c r="N92" s="24"/>
      <c r="O92" s="32"/>
      <c r="P92" s="24"/>
      <c r="Q92" s="24"/>
      <c r="R92" s="24"/>
      <c r="S92" s="24"/>
      <c r="T92" s="32" t="s">
        <v>375</v>
      </c>
      <c r="U92" s="24">
        <v>6</v>
      </c>
      <c r="V92" s="26"/>
    </row>
    <row r="93" spans="1:22">
      <c r="A93" s="30" t="s">
        <v>381</v>
      </c>
      <c r="B93" s="31" t="s">
        <v>363</v>
      </c>
      <c r="C93" s="30" t="s">
        <v>373</v>
      </c>
      <c r="D93" s="30"/>
      <c r="E93" s="30"/>
      <c r="F93" s="30"/>
      <c r="G93" s="30"/>
      <c r="H93" s="27"/>
      <c r="I93" s="27"/>
      <c r="J93" s="27"/>
      <c r="K93" s="27"/>
      <c r="L93" s="27"/>
      <c r="M93" s="27"/>
      <c r="N93" s="27"/>
      <c r="O93" s="30"/>
      <c r="P93" s="27"/>
      <c r="Q93" s="27"/>
      <c r="R93" s="27"/>
      <c r="S93" s="27"/>
      <c r="T93" s="30" t="s">
        <v>375</v>
      </c>
      <c r="U93" s="27">
        <v>6</v>
      </c>
      <c r="V93" s="29"/>
    </row>
    <row r="94" spans="1:22">
      <c r="A94" s="32" t="s">
        <v>362</v>
      </c>
      <c r="B94" s="33" t="s">
        <v>363</v>
      </c>
      <c r="C94" s="32" t="s">
        <v>373</v>
      </c>
      <c r="D94" s="32"/>
      <c r="E94" s="32"/>
      <c r="F94" s="32"/>
      <c r="G94" s="32"/>
      <c r="H94" s="24"/>
      <c r="I94" s="24"/>
      <c r="J94" s="24"/>
      <c r="K94" s="24"/>
      <c r="L94" s="24"/>
      <c r="M94" s="24"/>
      <c r="N94" s="24"/>
      <c r="O94" s="32"/>
      <c r="P94" s="24"/>
      <c r="Q94" s="24"/>
      <c r="R94" s="24"/>
      <c r="S94" s="24"/>
      <c r="T94" s="32" t="s">
        <v>385</v>
      </c>
      <c r="U94" s="24">
        <v>40</v>
      </c>
      <c r="V94" s="26">
        <v>16</v>
      </c>
    </row>
    <row r="95" spans="1:22">
      <c r="A95" s="30" t="s">
        <v>365</v>
      </c>
      <c r="B95" s="31" t="s">
        <v>363</v>
      </c>
      <c r="C95" s="30" t="s">
        <v>373</v>
      </c>
      <c r="D95" s="30"/>
      <c r="E95" s="30"/>
      <c r="F95" s="30"/>
      <c r="G95" s="30"/>
      <c r="H95" s="27"/>
      <c r="I95" s="27"/>
      <c r="J95" s="27"/>
      <c r="K95" s="27"/>
      <c r="L95" s="27"/>
      <c r="M95" s="27"/>
      <c r="N95" s="27"/>
      <c r="O95" s="30"/>
      <c r="P95" s="27"/>
      <c r="Q95" s="27"/>
      <c r="R95" s="27"/>
      <c r="S95" s="27"/>
      <c r="T95" s="30" t="s">
        <v>385</v>
      </c>
      <c r="U95" s="27">
        <v>24</v>
      </c>
      <c r="V95" s="29">
        <v>37</v>
      </c>
    </row>
    <row r="96" spans="1:22">
      <c r="A96" s="32" t="s">
        <v>368</v>
      </c>
      <c r="B96" s="33" t="s">
        <v>363</v>
      </c>
      <c r="C96" s="32" t="s">
        <v>373</v>
      </c>
      <c r="D96" s="32"/>
      <c r="E96" s="32"/>
      <c r="F96" s="32"/>
      <c r="G96" s="32"/>
      <c r="H96" s="24"/>
      <c r="I96" s="24"/>
      <c r="J96" s="24"/>
      <c r="K96" s="24"/>
      <c r="L96" s="24"/>
      <c r="M96" s="24"/>
      <c r="N96" s="24"/>
      <c r="O96" s="32"/>
      <c r="P96" s="24"/>
      <c r="Q96" s="24"/>
      <c r="R96" s="24"/>
      <c r="S96" s="24"/>
      <c r="T96" s="32" t="s">
        <v>385</v>
      </c>
      <c r="U96" s="24">
        <v>8</v>
      </c>
      <c r="V96" s="26">
        <v>16</v>
      </c>
    </row>
    <row r="97" spans="1:22">
      <c r="A97" s="30" t="s">
        <v>381</v>
      </c>
      <c r="B97" s="31" t="s">
        <v>363</v>
      </c>
      <c r="C97" s="30" t="s">
        <v>373</v>
      </c>
      <c r="D97" s="30"/>
      <c r="E97" s="30"/>
      <c r="F97" s="30"/>
      <c r="G97" s="30"/>
      <c r="H97" s="27"/>
      <c r="I97" s="27"/>
      <c r="J97" s="27"/>
      <c r="K97" s="27"/>
      <c r="L97" s="27"/>
      <c r="M97" s="27"/>
      <c r="N97" s="27"/>
      <c r="O97" s="30"/>
      <c r="P97" s="27"/>
      <c r="Q97" s="27"/>
      <c r="R97" s="27"/>
      <c r="S97" s="27"/>
      <c r="T97" s="30" t="s">
        <v>385</v>
      </c>
      <c r="U97" s="27">
        <v>8</v>
      </c>
      <c r="V97" s="29">
        <v>3</v>
      </c>
    </row>
    <row r="98" spans="1:22">
      <c r="A98" s="32" t="s">
        <v>365</v>
      </c>
      <c r="B98" s="33" t="s">
        <v>363</v>
      </c>
      <c r="C98" s="32" t="s">
        <v>364</v>
      </c>
      <c r="D98" s="32"/>
      <c r="E98" s="32"/>
      <c r="F98" s="32"/>
      <c r="G98" s="32"/>
      <c r="H98" s="24"/>
      <c r="I98" s="24"/>
      <c r="J98" s="24"/>
      <c r="K98" s="24"/>
      <c r="L98" s="24"/>
      <c r="M98" s="24"/>
      <c r="N98" s="24"/>
      <c r="O98" s="24" t="s">
        <v>390</v>
      </c>
      <c r="P98" s="24"/>
      <c r="Q98" s="24"/>
      <c r="R98" s="24">
        <v>110</v>
      </c>
      <c r="S98" s="24">
        <v>20</v>
      </c>
      <c r="T98" s="32"/>
      <c r="U98" s="24"/>
      <c r="V98" s="26"/>
    </row>
    <row r="99" spans="1:22">
      <c r="A99" s="30" t="s">
        <v>365</v>
      </c>
      <c r="B99" s="31" t="s">
        <v>363</v>
      </c>
      <c r="C99" s="30" t="s">
        <v>369</v>
      </c>
      <c r="D99" s="30" t="s">
        <v>377</v>
      </c>
      <c r="E99" s="30"/>
      <c r="F99" s="30"/>
      <c r="G99" s="30" t="s">
        <v>371</v>
      </c>
      <c r="H99" s="27"/>
      <c r="I99" s="27"/>
      <c r="J99" s="27">
        <v>1</v>
      </c>
      <c r="K99" s="27">
        <v>13</v>
      </c>
      <c r="L99" s="27"/>
      <c r="M99" s="27"/>
      <c r="N99" s="27"/>
      <c r="O99" s="30" t="s">
        <v>67</v>
      </c>
      <c r="P99" s="27"/>
      <c r="Q99" s="27"/>
      <c r="R99" s="27"/>
      <c r="S99" s="27"/>
      <c r="T99" s="30"/>
      <c r="U99" s="27"/>
      <c r="V99" s="29"/>
    </row>
    <row r="100" spans="1:22">
      <c r="A100" s="32" t="s">
        <v>365</v>
      </c>
      <c r="B100" s="33" t="s">
        <v>363</v>
      </c>
      <c r="C100" s="32" t="s">
        <v>369</v>
      </c>
      <c r="D100" s="32" t="s">
        <v>380</v>
      </c>
      <c r="E100" s="32"/>
      <c r="F100" s="32"/>
      <c r="G100" s="32"/>
      <c r="H100" s="24"/>
      <c r="I100" s="24"/>
      <c r="J100" s="24">
        <v>2</v>
      </c>
      <c r="K100" s="24">
        <v>18</v>
      </c>
      <c r="L100" s="24"/>
      <c r="M100" s="24"/>
      <c r="N100" s="24"/>
      <c r="O100" s="32" t="s">
        <v>67</v>
      </c>
      <c r="P100" s="24"/>
      <c r="Q100" s="24"/>
      <c r="R100" s="24"/>
      <c r="S100" s="24"/>
      <c r="T100" s="32"/>
      <c r="U100" s="24"/>
      <c r="V100" s="26"/>
    </row>
    <row r="101" spans="1:22">
      <c r="A101" s="30" t="s">
        <v>365</v>
      </c>
      <c r="B101" s="31" t="s">
        <v>363</v>
      </c>
      <c r="C101" s="30" t="s">
        <v>369</v>
      </c>
      <c r="D101" s="30" t="s">
        <v>378</v>
      </c>
      <c r="E101" s="30" t="s">
        <v>388</v>
      </c>
      <c r="F101" s="30"/>
      <c r="G101" s="30"/>
      <c r="H101" s="27"/>
      <c r="I101" s="27"/>
      <c r="J101" s="27">
        <v>1</v>
      </c>
      <c r="K101" s="27">
        <v>7</v>
      </c>
      <c r="L101" s="27"/>
      <c r="M101" s="27"/>
      <c r="N101" s="27"/>
      <c r="O101" s="30" t="s">
        <v>67</v>
      </c>
      <c r="P101" s="27"/>
      <c r="Q101" s="27"/>
      <c r="R101" s="27"/>
      <c r="S101" s="27"/>
      <c r="T101" s="30"/>
      <c r="U101" s="27"/>
      <c r="V101" s="29"/>
    </row>
    <row r="102" spans="1:22">
      <c r="A102" s="32" t="s">
        <v>365</v>
      </c>
      <c r="B102" s="33" t="s">
        <v>363</v>
      </c>
      <c r="C102" s="32" t="s">
        <v>369</v>
      </c>
      <c r="D102" s="32" t="s">
        <v>370</v>
      </c>
      <c r="E102" s="32"/>
      <c r="F102" s="32" t="s">
        <v>371</v>
      </c>
      <c r="G102" s="32"/>
      <c r="H102" s="24"/>
      <c r="I102" s="24"/>
      <c r="J102" s="24">
        <v>1</v>
      </c>
      <c r="K102" s="24">
        <v>20</v>
      </c>
      <c r="L102" s="24"/>
      <c r="M102" s="24"/>
      <c r="N102" s="24"/>
      <c r="O102" s="32" t="s">
        <v>67</v>
      </c>
      <c r="P102" s="24"/>
      <c r="Q102" s="24"/>
      <c r="R102" s="24"/>
      <c r="S102" s="24"/>
      <c r="T102" s="32"/>
      <c r="U102" s="24"/>
      <c r="V102" s="26"/>
    </row>
    <row r="103" spans="1:22">
      <c r="A103" s="30" t="s">
        <v>368</v>
      </c>
      <c r="B103" s="31" t="s">
        <v>363</v>
      </c>
      <c r="C103" s="30" t="s">
        <v>364</v>
      </c>
      <c r="D103" s="30"/>
      <c r="E103" s="30"/>
      <c r="F103" s="30"/>
      <c r="G103" s="30"/>
      <c r="H103" s="27"/>
      <c r="I103" s="27"/>
      <c r="J103" s="27"/>
      <c r="K103" s="27"/>
      <c r="L103" s="27"/>
      <c r="M103" s="27"/>
      <c r="N103" s="27"/>
      <c r="O103" s="27" t="s">
        <v>390</v>
      </c>
      <c r="P103" s="27"/>
      <c r="Q103" s="27"/>
      <c r="R103" s="27">
        <v>74</v>
      </c>
      <c r="S103" s="27">
        <v>21</v>
      </c>
      <c r="T103" s="30"/>
      <c r="U103" s="27"/>
      <c r="V103" s="29"/>
    </row>
    <row r="104" spans="1:22">
      <c r="A104" s="32" t="s">
        <v>368</v>
      </c>
      <c r="B104" s="33" t="s">
        <v>363</v>
      </c>
      <c r="C104" s="32" t="s">
        <v>369</v>
      </c>
      <c r="D104" s="32" t="s">
        <v>370</v>
      </c>
      <c r="E104" s="32"/>
      <c r="F104" s="32" t="s">
        <v>371</v>
      </c>
      <c r="G104" s="32"/>
      <c r="H104" s="24"/>
      <c r="I104" s="24"/>
      <c r="J104" s="24">
        <v>5</v>
      </c>
      <c r="K104" s="24">
        <v>108</v>
      </c>
      <c r="L104" s="24"/>
      <c r="M104" s="24"/>
      <c r="N104" s="24"/>
      <c r="O104" s="32" t="s">
        <v>67</v>
      </c>
      <c r="P104" s="24"/>
      <c r="Q104" s="24"/>
      <c r="R104" s="24"/>
      <c r="S104" s="24"/>
      <c r="T104" s="32"/>
      <c r="U104" s="24"/>
      <c r="V104" s="26"/>
    </row>
    <row r="105" spans="1:22">
      <c r="A105" s="30" t="s">
        <v>368</v>
      </c>
      <c r="B105" s="31" t="s">
        <v>363</v>
      </c>
      <c r="C105" s="30" t="s">
        <v>369</v>
      </c>
      <c r="D105" s="30" t="s">
        <v>380</v>
      </c>
      <c r="E105" s="30"/>
      <c r="F105" s="30"/>
      <c r="G105" s="30"/>
      <c r="H105" s="27"/>
      <c r="I105" s="27"/>
      <c r="J105" s="27">
        <v>6</v>
      </c>
      <c r="K105" s="27">
        <v>72</v>
      </c>
      <c r="L105" s="27"/>
      <c r="M105" s="27"/>
      <c r="N105" s="27"/>
      <c r="O105" s="30" t="s">
        <v>67</v>
      </c>
      <c r="P105" s="27"/>
      <c r="Q105" s="27"/>
      <c r="R105" s="27"/>
      <c r="S105" s="27"/>
      <c r="T105" s="30"/>
      <c r="U105" s="27"/>
      <c r="V105" s="29"/>
    </row>
    <row r="106" spans="1:22">
      <c r="A106" s="32" t="s">
        <v>368</v>
      </c>
      <c r="B106" s="33" t="s">
        <v>363</v>
      </c>
      <c r="C106" s="32" t="s">
        <v>369</v>
      </c>
      <c r="D106" s="32" t="s">
        <v>377</v>
      </c>
      <c r="E106" s="32"/>
      <c r="F106" s="32"/>
      <c r="G106" s="32" t="s">
        <v>371</v>
      </c>
      <c r="H106" s="24"/>
      <c r="I106" s="24"/>
      <c r="J106" s="24">
        <v>1</v>
      </c>
      <c r="K106" s="24">
        <v>30</v>
      </c>
      <c r="L106" s="24"/>
      <c r="M106" s="24"/>
      <c r="N106" s="24"/>
      <c r="O106" s="32" t="s">
        <v>67</v>
      </c>
      <c r="P106" s="24"/>
      <c r="Q106" s="24"/>
      <c r="R106" s="24"/>
      <c r="S106" s="24"/>
      <c r="T106" s="32"/>
      <c r="U106" s="24"/>
      <c r="V106" s="26"/>
    </row>
    <row r="107" spans="1:22">
      <c r="A107" s="30" t="s">
        <v>368</v>
      </c>
      <c r="B107" s="31" t="s">
        <v>363</v>
      </c>
      <c r="C107" s="30" t="s">
        <v>369</v>
      </c>
      <c r="D107" s="30" t="s">
        <v>387</v>
      </c>
      <c r="E107" s="30"/>
      <c r="F107" s="30"/>
      <c r="G107" s="30"/>
      <c r="H107" s="27"/>
      <c r="I107" s="27"/>
      <c r="J107" s="27">
        <v>1</v>
      </c>
      <c r="K107" s="27">
        <v>191</v>
      </c>
      <c r="L107" s="27"/>
      <c r="M107" s="27"/>
      <c r="N107" s="27"/>
      <c r="O107" s="30" t="s">
        <v>67</v>
      </c>
      <c r="P107" s="27"/>
      <c r="Q107" s="27"/>
      <c r="R107" s="27"/>
      <c r="S107" s="27"/>
      <c r="T107" s="30"/>
      <c r="U107" s="27"/>
      <c r="V107" s="29"/>
    </row>
    <row r="108" spans="1:22">
      <c r="A108" s="32" t="s">
        <v>368</v>
      </c>
      <c r="B108" s="33" t="s">
        <v>363</v>
      </c>
      <c r="C108" s="32" t="s">
        <v>369</v>
      </c>
      <c r="D108" s="32" t="s">
        <v>378</v>
      </c>
      <c r="E108" s="32" t="s">
        <v>388</v>
      </c>
      <c r="F108" s="32"/>
      <c r="G108" s="32"/>
      <c r="H108" s="24"/>
      <c r="I108" s="24"/>
      <c r="J108" s="24">
        <v>2</v>
      </c>
      <c r="K108" s="24">
        <v>84</v>
      </c>
      <c r="L108" s="24"/>
      <c r="M108" s="24"/>
      <c r="N108" s="24"/>
      <c r="O108" s="32" t="s">
        <v>67</v>
      </c>
      <c r="P108" s="24"/>
      <c r="Q108" s="24"/>
      <c r="R108" s="24"/>
      <c r="S108" s="24"/>
      <c r="T108" s="32"/>
      <c r="U108" s="24"/>
      <c r="V108" s="26"/>
    </row>
    <row r="109" spans="1:22">
      <c r="A109" s="30" t="s">
        <v>381</v>
      </c>
      <c r="B109" s="31" t="s">
        <v>363</v>
      </c>
      <c r="C109" s="30" t="s">
        <v>364</v>
      </c>
      <c r="D109" s="30"/>
      <c r="E109" s="30"/>
      <c r="F109" s="30"/>
      <c r="G109" s="30"/>
      <c r="H109" s="27"/>
      <c r="I109" s="27"/>
      <c r="J109" s="27"/>
      <c r="K109" s="27"/>
      <c r="L109" s="27"/>
      <c r="M109" s="27"/>
      <c r="N109" s="27"/>
      <c r="O109" s="27" t="s">
        <v>390</v>
      </c>
      <c r="P109" s="27"/>
      <c r="Q109" s="27"/>
      <c r="R109" s="27">
        <v>40</v>
      </c>
      <c r="S109" s="27">
        <v>6</v>
      </c>
      <c r="T109" s="30"/>
      <c r="U109" s="27"/>
      <c r="V109" s="29"/>
    </row>
  </sheetData>
  <autoFilter ref="A1:V1" xr:uid="{77D8B522-DC47-420E-AA16-DDBB93EE47D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2025-09-24T14:21:50Z</dcterms:created>
  <dcterms:modified xsi:type="dcterms:W3CDTF">2025-12-15T19:42:29Z</dcterms:modified>
  <cp:category/>
  <cp:contentStatus/>
</cp:coreProperties>
</file>